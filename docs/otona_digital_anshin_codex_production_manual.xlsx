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5d6f46f5c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まずこれだけ" sheetId="1" r:id="R2d396964db0649b3"/>
    <x:sheet xmlns:r="http://schemas.openxmlformats.org/officeDocument/2006/relationships" name="01_環境セットアップ" sheetId="2" r:id="R0d4a2dcf12224efc"/>
    <x:sheet xmlns:r="http://schemas.openxmlformats.org/officeDocument/2006/relationships" name="02_フォルダ構成" sheetId="3" r:id="R44d873a484ae4771"/>
    <x:sheet xmlns:r="http://schemas.openxmlformats.org/officeDocument/2006/relationships" name="03_AGENTSmd" sheetId="4" r:id="R5d7b73d411be4f91"/>
    <x:sheet xmlns:r="http://schemas.openxmlformats.org/officeDocument/2006/relationships" name="04_制作フロー" sheetId="5" r:id="R047dd4d9d96a4f4e"/>
    <x:sheet xmlns:r="http://schemas.openxmlformats.org/officeDocument/2006/relationships" name="05_Codexプロンプト集" sheetId="6" r:id="Rbda05cefa25144cc"/>
    <x:sheet xmlns:r="http://schemas.openxmlformats.org/officeDocument/2006/relationships" name="06_自動化スクリプト" sheetId="7" r:id="R3bd7b0de459d40d9"/>
    <x:sheet xmlns:r="http://schemas.openxmlformats.org/officeDocument/2006/relationships" name="07_最初の12本" sheetId="8" r:id="R55cb057e3e5542e2"/>
    <x:sheet xmlns:r="http://schemas.openxmlformats.org/officeDocument/2006/relationships" name="08_QCチェック" sheetId="9" r:id="R64319b16178a444f"/>
    <x:sheet xmlns:r="http://schemas.openxmlformats.org/officeDocument/2006/relationships" name="09_分析と改善" sheetId="10" r:id="R4f02ca98512d4f4a"/>
    <x:sheet xmlns:r="http://schemas.openxmlformats.org/officeDocument/2006/relationships" name="10_自動化ロードマップ" sheetId="11" r:id="R7a666f52a180438b"/>
    <x:sheet xmlns:r="http://schemas.openxmlformats.org/officeDocument/2006/relationships" name="11_出典" sheetId="12" r:id="R5de6300abfe1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B6CB0"/>
      <x:name val="Carlito"/>
    </x:font>
    <x:font>
      <x:b/>
      <x:sz val="11"/>
      <x:color rgb="FF17324D"/>
      <x:name val="Carlito"/>
    </x:font>
    <x:font>
      <x:sz val="10"/>
      <x:name val="Consola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B6CB0"/>
      </x:patternFill>
    </x:fill>
    <x:fill>
      <x:patternFill patternType="solid">
        <x:fgColor rgb="FFC53030"/>
      </x:patternFill>
    </x:fill>
    <x:fill>
      <x:patternFill patternType="solid">
        <x:fgColor rgb="FFFFF0F0"/>
      </x:patternFill>
    </x:fill>
    <x:fill>
      <x:patternFill patternType="solid">
        <x:fgColor rgb="FFEAF2F8"/>
      </x:patternFill>
    </x:fill>
    <x:fill>
      <x:patternFill patternType="solid">
        <x:fgColor rgb="FFF5F7FA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11">
    <x:dxf>
      <x:fill>
        <x:patternFill patternType="solid">
          <x:bgColor rgb="FFE9F7EF"/>
        </x:patternFill>
      </x:fill>
    </x:dxf>
    <x:dxf>
      <x:fill>
        <x:patternFill patternType="solid">
          <x:bgColor rgb="FFFFF7E6"/>
        </x:patternFill>
      </x:fill>
    </x:dxf>
    <x:dxf>
      <x:fill>
        <x:patternFill patternType="solid">
          <x:bgColor rgb="FFE9F7EF"/>
        </x:patternFill>
      </x:fill>
    </x:dxf>
    <x:dxf>
      <x:fill>
        <x:patternFill patternType="solid">
          <x:bgColor rgb="FFFFF7E6"/>
        </x:patternFill>
      </x:fill>
    </x:dxf>
    <x:dxf>
      <x:font>
        <x:b/>
        <x:color rgb="FFC53030"/>
      </x:font>
      <x:fill>
        <x:patternFill patternType="solid">
          <x:bgColor rgb="FFFFF0F0"/>
        </x:patternFill>
      </x:fill>
    </x:dxf>
    <x:dxf>
      <x:fill>
        <x:patternFill patternType="solid">
          <x:bgColor rgb="FFE9F7EF"/>
        </x:patternFill>
      </x:fill>
    </x:dxf>
    <x:dxf>
      <x:fill>
        <x:patternFill patternType="solid">
          <x:bgColor rgb="FFFFF7E6"/>
        </x:patternFill>
      </x:fill>
    </x:dxf>
    <x:dxf>
      <x:fill>
        <x:patternFill patternType="solid">
          <x:bgColor rgb="FFFFF0F0"/>
        </x:patternFill>
      </x:fill>
    </x:dxf>
    <x:dxf>
      <x:font>
        <x:b/>
        <x:color rgb="FFC53030"/>
      </x:font>
      <x:fill>
        <x:patternFill patternType="solid">
          <x:bgColor rgb="FFFFF0F0"/>
        </x:patternFill>
      </x:fill>
    </x:dxf>
    <x:dxf>
      <x:fill>
        <x:patternFill patternType="solid">
          <x:bgColor rgb="FFFFF7E6"/>
        </x:patternFill>
      </x:fill>
    </x:dxf>
    <x:dxf>
      <x:font>
        <x:b/>
        <x:color rgb="FF2F855A"/>
      </x:font>
      <x:fill>
        <x:patternFill patternType="solid">
          <x:bgColor rgb="FFE9F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546ae08784efc" /><Relationship Type="http://schemas.openxmlformats.org/officeDocument/2006/relationships/theme" Target="/xl/theme/theme1.xml" Id="Raa73de4813fe419a" /><Relationship Type="http://schemas.openxmlformats.org/officeDocument/2006/relationships/sharedStrings" Target="/xl/sharedStrings.xml" Id="R7a86858fc1214fc2" /><Relationship Type="http://schemas.openxmlformats.org/officeDocument/2006/relationships/worksheet" Target="/xl/worksheets/sheet1.xml" Id="R2d396964db0649b3" /><Relationship Type="http://schemas.openxmlformats.org/officeDocument/2006/relationships/worksheet" Target="/xl/worksheets/sheet2.xml" Id="R0d4a2dcf12224efc" /><Relationship Type="http://schemas.openxmlformats.org/officeDocument/2006/relationships/worksheet" Target="/xl/worksheets/sheet3.xml" Id="R44d873a484ae4771" /><Relationship Type="http://schemas.openxmlformats.org/officeDocument/2006/relationships/worksheet" Target="/xl/worksheets/sheet4.xml" Id="R5d7b73d411be4f91" /><Relationship Type="http://schemas.openxmlformats.org/officeDocument/2006/relationships/worksheet" Target="/xl/worksheets/sheet5.xml" Id="R047dd4d9d96a4f4e" /><Relationship Type="http://schemas.openxmlformats.org/officeDocument/2006/relationships/worksheet" Target="/xl/worksheets/sheet6.xml" Id="Rbda05cefa25144cc" /><Relationship Type="http://schemas.openxmlformats.org/officeDocument/2006/relationships/worksheet" Target="/xl/worksheets/sheet7.xml" Id="R3bd7b0de459d40d9" /><Relationship Type="http://schemas.openxmlformats.org/officeDocument/2006/relationships/worksheet" Target="/xl/worksheets/sheet8.xml" Id="R55cb057e3e5542e2" /><Relationship Type="http://schemas.openxmlformats.org/officeDocument/2006/relationships/worksheet" Target="/xl/worksheets/sheet9.xml" Id="R64319b16178a444f" /><Relationship Type="http://schemas.openxmlformats.org/officeDocument/2006/relationships/worksheet" Target="/xl/worksheets/sheet10.xml" Id="R4f02ca98512d4f4a" /><Relationship Type="http://schemas.openxmlformats.org/officeDocument/2006/relationships/worksheet" Target="/xl/worksheets/sheet11.xml" Id="R7a666f52a180438b" /><Relationship Type="http://schemas.openxmlformats.org/officeDocument/2006/relationships/worksheet" Target="/xl/worksheets/sheet12.xml" Id="R5de6300abfe144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59123adfa94d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Phase別の目標自動化率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期間目安</c:v>
          </c:tx>
          <c:cat>
            <c:strRef>
              <c:f>'10_自動化ロードマップ'!$A$4:$A$9</c:f>
              <c:strCache>
                <c:ptCount val="0"/>
              </c:strCache>
            </c:strRef>
          </c:cat>
          <c:val>
            <c:numRef>
              <c:f>'10_自動化ロードマップ'!$B$4:$B$9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目標</c:v>
          </c:tx>
          <c:cat>
            <c:strRef>
              <c:f>'10_自動化ロードマップ'!$A$4:$A$9</c:f>
              <c:strCache>
                <c:ptCount val="0"/>
              </c:strCache>
            </c:strRef>
          </c:cat>
          <c:val>
            <c:numRef>
              <c:f>'10_自動化ロードマップ'!$C$4:$C$9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Codexに作らせるもの</c:v>
          </c:tx>
          <c:cat>
            <c:strRef>
              <c:f>'10_自動化ロードマップ'!$A$4:$A$9</c:f>
              <c:strCache>
                <c:ptCount val="0"/>
              </c:strCache>
            </c:strRef>
          </c:cat>
          <c:val>
            <c:numRef>
              <c:f>'10_自動化ロードマップ'!$D$4:$D$9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人間に残す</c:v>
          </c:tx>
          <c:cat>
            <c:strRef>
              <c:f>'10_自動化ロードマップ'!$A$4:$A$9</c:f>
              <c:strCache>
                <c:ptCount val="0"/>
              </c:strCache>
            </c:strRef>
          </c:cat>
          <c:val>
            <c:numRef>
              <c:f>'10_自動化ロードマップ'!$E$4:$E$9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完成条件</c:v>
          </c:tx>
          <c:cat>
            <c:strRef>
              <c:f>'10_自動化ロードマップ'!$A$4:$A$9</c:f>
              <c:strCache>
                <c:ptCount val="0"/>
              </c:strCache>
            </c:strRef>
          </c:cat>
          <c:val>
            <c:numRef>
              <c:f>'10_自動化ロードマップ'!$F$4:$F$9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自動化率</c:v>
          </c:tx>
          <c:cat>
            <c:strRef>
              <c:f>'10_自動化ロードマップ'!$A$4:$A$9</c:f>
              <c:strCache>
                <c:ptCount val="0"/>
              </c:strCache>
            </c:strRef>
          </c:cat>
          <c:val>
            <c:numRef>
              <c:f>'10_自動化ロードマップ'!$G$4:$G$9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59123adfa94df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3c6e5113b5429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8" hidden="0" customWidth="1"/>
    <x:col min="4" max="4" width="27" hidden="0" customWidth="1"/>
    <x:col min="5" max="5" width="13" hidden="0" customWidth="1"/>
    <x:col min="6" max="6" width="13" hidden="0" customWidth="1"/>
    <x:col min="7" max="7" width="28" hidden="0" customWidth="1"/>
    <x:col min="8" max="8" width="13" hidden="0" customWidth="1"/>
  </x:cols>
  <x:sheetData>
    <x:row r="1">
      <x:c r="A1" s="64" t="str">
        <x:v>大人のデジタル安心室｜Codexフル活用 実制作マニュアル</x:v>
      </x:c>
      <x:c r="B1" s="64"/>
      <x:c r="C1" s="64"/>
      <x:c r="D1" s="64"/>
      <x:c r="E1" s="64"/>
      <x:c r="F1" s="64"/>
      <x:c r="G1" s="64"/>
      <x:c r="H1" s="64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4"/>
      <x:c r="B2" s="64"/>
      <x:c r="C2" s="64"/>
      <x:c r="D2" s="64"/>
      <x:c r="E2" s="64"/>
      <x:c r="F2" s="64"/>
      <x:c r="G2" s="64"/>
      <x:c r="H2" s="64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6" t="str">
        <x:v>最初の結論：人間は「企画の最終決定・実機録画・公開前確認」だけ。残りはCodex中心にする。</x:v>
      </x:c>
      <x:c r="B4" s="66"/>
      <x:c r="C4" s="66"/>
      <x:c r="D4" s="66"/>
      <x:c r="E4" s="66"/>
      <x:c r="F4" s="66"/>
      <x:c r="G4" s="66"/>
      <x:c r="H4" s="66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/>
      <x:c r="B5" s="65"/>
      <x:c r="C5" s="65"/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7" t="str">
        <x:v>段階</x:v>
      </x:c>
      <x:c r="B6" s="67" t="str">
        <x:v>人間がやる</x:v>
      </x:c>
      <x:c r="C6" s="67" t="str">
        <x:v>Codexがやる</x:v>
      </x:c>
      <x:c r="D6" s="67" t="str">
        <x:v>主な出力</x:v>
      </x:c>
      <x:c r="E6" s="67" t="str">
        <x:v>最初は自動化？</x:v>
      </x:c>
      <x:c r="F6" s="67" t="str">
        <x:v>目安</x:v>
      </x:c>
      <x:c r="G6" s="67" t="str">
        <x:v>合格条件</x:v>
      </x:c>
      <x:c r="H6" s="67" t="str">
        <x:v>次へ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n">
        <x:v>1</x:v>
      </x:c>
      <x:c r="B7" s="68" t="str">
        <x:v>テーマ最終決定</x:v>
      </x:c>
      <x:c r="C7" s="68" t="str">
        <x:v>競合/公式情報を整理し企画候補を採点</x:v>
      </x:c>
      <x:c r="D7" s="68" t="str">
        <x:v>research.md / brief.json</x:v>
      </x:c>
      <x:c r="E7" s="68" t="str">
        <x:v>○</x:v>
      </x:c>
      <x:c r="F7" s="68" t="str">
        <x:v>15〜30分</x:v>
      </x:c>
      <x:c r="G7" s="68" t="str">
        <x:v>一次情報が2つ以上</x:v>
      </x:c>
      <x:c r="H7" s="68" t="str">
        <x:v>台本へ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n">
        <x:v>2</x:v>
      </x:c>
      <x:c r="B8" s="68" t="str">
        <x:v>事実の最終確認</x:v>
      </x:c>
      <x:c r="C8" s="68" t="str">
        <x:v>一次情報を要約・矛盾検出・引用箇所整理</x:v>
      </x:c>
      <x:c r="D8" s="68" t="str">
        <x:v>facts.md / sources.json</x:v>
      </x:c>
      <x:c r="E8" s="68" t="str">
        <x:v>○</x:v>
      </x:c>
      <x:c r="F8" s="68" t="str">
        <x:v>15〜30分</x:v>
      </x:c>
      <x:c r="G8" s="68" t="str">
        <x:v>断定が一次情報と一致</x:v>
      </x:c>
      <x:c r="H8" s="68" t="str">
        <x:v>台本へ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n">
        <x:v>3</x:v>
      </x:c>
      <x:c r="B9" s="68" t="str">
        <x:v>実機録画</x:v>
      </x:c>
      <x:c r="C9" s="68" t="str">
        <x:v>録画手順書・ショットリスト作成</x:v>
      </x:c>
      <x:c r="D9" s="68" t="str">
        <x:v>shotlist.md</x:v>
      </x:c>
      <x:c r="E9" s="68" t="str">
        <x:v>△</x:v>
      </x:c>
      <x:c r="F9" s="68" t="str">
        <x:v>20〜40分</x:v>
      </x:c>
      <x:c r="G9" s="68" t="str">
        <x:v>必要画面が全部ある</x:v>
      </x:c>
      <x:c r="H9" s="68" t="str">
        <x:v>編集へ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n">
        <x:v>4</x:v>
      </x:c>
      <x:c r="B10" s="68" t="str">
        <x:v>完成動画の確認</x:v>
      </x:c>
      <x:c r="C10" s="68" t="str">
        <x:v>台本・字幕・音声・素材・FFmpeg編集</x:v>
      </x:c>
      <x:c r="D10" s="68" t="str">
        <x:v>final.mp4 / captions.srt</x:v>
      </x:c>
      <x:c r="E10" s="68" t="str">
        <x:v>○</x:v>
      </x:c>
      <x:c r="F10" s="68" t="str">
        <x:v>30〜60分</x:v>
      </x:c>
      <x:c r="G10" s="68" t="str">
        <x:v>誤操作・誤字なし</x:v>
      </x:c>
      <x:c r="H10" s="68" t="str">
        <x:v>サムネへ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8" t="n">
        <x:v>5</x:v>
      </x:c>
      <x:c r="B11" s="68" t="str">
        <x:v>3案から選ぶ</x:v>
      </x:c>
      <x:c r="C11" s="68" t="str">
        <x:v>サムネHTML/SVGを3案生成</x:v>
      </x:c>
      <x:c r="D11" s="68" t="str">
        <x:v>thumb_01〜03.png</x:v>
      </x:c>
      <x:c r="E11" s="68" t="str">
        <x:v>○</x:v>
      </x:c>
      <x:c r="F11" s="68" t="str">
        <x:v>10分</x:v>
      </x:c>
      <x:c r="G11" s="68" t="str">
        <x:v>スマホ表示で読める</x:v>
      </x:c>
      <x:c r="H11" s="68" t="str">
        <x:v>公開へ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8" t="n">
        <x:v>6</x:v>
      </x:c>
      <x:c r="B12" s="68" t="str">
        <x:v>YouTubeで公開</x:v>
      </x:c>
      <x:c r="C12" s="68" t="str">
        <x:v>タイトル/説明/章/タグ案を生成</x:v>
      </x:c>
      <x:c r="D12" s="68" t="str">
        <x:v>publish.json</x:v>
      </x:c>
      <x:c r="E12" s="68" t="str">
        <x:v>△</x:v>
      </x:c>
      <x:c r="F12" s="68" t="str">
        <x:v>10分</x:v>
      </x:c>
      <x:c r="G12" s="68" t="str">
        <x:v>説明欄に根拠URL</x:v>
      </x:c>
      <x:c r="H12" s="68" t="str">
        <x:v>分析へ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8" t="n">
        <x:v>7</x:v>
      </x:c>
      <x:c r="B13" s="68" t="str">
        <x:v>数字を確認</x:v>
      </x:c>
      <x:c r="C13" s="68" t="str">
        <x:v>Analytics CSVを分析し次回仮説を出す</x:v>
      </x:c>
      <x:c r="D13" s="68" t="str">
        <x:v>review.md / next_candidates.csv</x:v>
      </x:c>
      <x:c r="E13" s="68" t="str">
        <x:v>○</x:v>
      </x:c>
      <x:c r="F13" s="68" t="str">
        <x:v>15分</x:v>
      </x:c>
      <x:c r="G13" s="68" t="str">
        <x:v>改善仮説が1〜3個</x:v>
      </x:c>
      <x:c r="H13" s="68" t="str">
        <x:v>次動画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6" t="str">
        <x:v>最初の3本はここまでで十分</x:v>
      </x:c>
      <x:c r="B15" s="66"/>
      <x:c r="C15" s="66"/>
      <x:c r="D15" s="66"/>
      <x:c r="E15" s="65"/>
      <x:c r="F15" s="69" t="str">
        <x:v>やらないこと</x:v>
      </x:c>
      <x:c r="G15" s="69"/>
      <x:c r="H15" s="69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70" t="str">
        <x:v>1</x:v>
      </x:c>
      <x:c r="B16" s="68" t="str">
        <x:v>Codexでリサーチ・台本・ショットリスト</x:v>
      </x:c>
      <x:c r="C16" s="68" t="str"/>
      <x:c r="D16" s="68" t="str"/>
      <x:c r="E16" s="65"/>
      <x:c r="F16" s="40" t="str">
        <x:v>× 最初からYouTube投稿まで完全自動化
× 競合動画をコピーして言い換える
× AIだけで実機画面を捏造する
× 『絶対』『全員漏れてる』など根拠以上に煽る
× 12本作る前に大規模な管理画面を作り込む</x:v>
      </x:c>
      <x:c r="G16" s="40"/>
      <x:c r="H16" s="40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70" t="str">
        <x:v>2</x:v>
      </x:c>
      <x:c r="B17" s="68" t="str">
        <x:v>自分でスマホ画面録画</x:v>
      </x:c>
      <x:c r="C17" s="68" t="str"/>
      <x:c r="D17" s="68" t="str"/>
      <x:c r="E17" s="65"/>
      <x:c r="F17" s="40"/>
      <x:c r="G17" s="40"/>
      <x:c r="H17" s="40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70" t="str">
        <x:v>3</x:v>
      </x:c>
      <x:c r="B18" s="68" t="str">
        <x:v>Codexが素材整理・字幕・FFmpeg編集</x:v>
      </x:c>
      <x:c r="C18" s="68" t="str"/>
      <x:c r="D18" s="68" t="str"/>
      <x:c r="E18" s="65"/>
      <x:c r="F18" s="40"/>
      <x:c r="G18" s="40"/>
      <x:c r="H18" s="40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70" t="str">
        <x:v>4</x:v>
      </x:c>
      <x:c r="B19" s="68" t="str">
        <x:v>Codexがサムネ3案と投稿文を生成</x:v>
      </x:c>
      <x:c r="C19" s="68" t="str"/>
      <x:c r="D19" s="68" t="str"/>
      <x:c r="E19" s="65"/>
      <x:c r="F19" s="40"/>
      <x:c r="G19" s="40"/>
      <x:c r="H19" s="40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70" t="str">
        <x:v>5</x:v>
      </x:c>
      <x:c r="B20" s="68" t="str">
        <x:v>自分が完成確認してYouTubeに投稿</x:v>
      </x:c>
      <x:c r="C20" s="68" t="str"/>
      <x:c r="D20" s="68" t="str"/>
      <x:c r="E20" s="65"/>
      <x:c r="F20" s="40"/>
      <x:c r="G20" s="40"/>
      <x:c r="H20" s="40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7" t="str">
        <x:v>MVP進捗</x:v>
      </x:c>
      <x:c r="B23" s="67" t="str">
        <x:v>完了数</x:v>
      </x:c>
      <x:c r="C23" s="67" t="str">
        <x:v>全タスク</x:v>
      </x:c>
      <x:c r="D23" s="67" t="str">
        <x:v>進捗率</x:v>
      </x:c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 t="str">
        <x:v>初期制作システム</x:v>
      </x:c>
      <x:c r="B24" s="65" t="n">
        <x:v>0</x:v>
      </x:c>
      <x:c r="C24" s="65" t="n">
        <x:v>12</x:v>
      </x:c>
      <x:c r="D24" s="71" t="n">
        <x:f>IFERROR(B24/C24,0)</x:f>
        <x:v>0</x:v>
      </x:c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H2"/>
    <x:mergeCell ref="A4:H4"/>
    <x:mergeCell ref="A15:D15"/>
    <x:mergeCell ref="F15:H15"/>
    <x:mergeCell ref="F16:H20"/>
  </x:mergeCells>
  <x:conditionalFormatting sqref="A7:H13">
    <x:cfRule type="expression" dxfId="0" priority="1">
      <x:formula>$E7="○"</x:formula>
    </x:cfRule>
    <x:cfRule type="expression" dxfId="1" priority="2">
      <x:formula>$E7="△"</x:formula>
    </x:cfRule>
  </x:conditionalFormatting>
  <x:conditionalFormatting sqref="D24:D24">
    <x:cfRule type="dataBar" priority="3">
      <x:dataBar>
        <x:cfvo type="min"/>
        <x:cfvo type="max"/>
        <x:color rgb="FF2F855A"/>
      </x:dataBar>
      <x:extLst>
        <x:ext xmlns:x14="http://schemas.microsoft.com/office/spreadsheetml/2009/9/main" uri="{B025F937-C7B1-47D3-B67F-A62EFF666E3E}">
          <x14:id>{A8F9E222-B62E-5A55-8D27-8055C46CD5C8}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A8F9E222-B62E-5A55-8D27-8055C46CD5C8}">
            <x14:dataBar gradient="1">
              <x14:cfvo type="min"/>
              <x14:cfvo type="max"/>
              <x14:fillColor rgb="FF2F855A"/>
            </x14:dataBar>
          </x14:cfRule>
          <xm:sqref>D24:D24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28" hidden="0" customWidth="1"/>
    <x:col min="4" max="4" width="18" hidden="0" customWidth="1"/>
    <x:col min="5" max="5" width="25" hidden="0" customWidth="1"/>
    <x:col min="6" max="6" width="38" hidden="0" customWidth="1"/>
    <x:col min="7" max="7" width="14" hidden="0" customWidth="1"/>
    <x:col min="8" max="8" width="34" hidden="0" customWidth="1"/>
  </x:cols>
  <x:sheetData>
    <x:row r="1">
      <x:c r="A1" s="64" t="str">
        <x:v>環境セットアップ｜1回だけやる</x:v>
      </x:c>
      <x:c r="B1" s="64"/>
      <x:c r="C1" s="64"/>
      <x:c r="D1" s="64"/>
      <x:c r="E1" s="64"/>
      <x:c r="F1" s="64"/>
      <x:c r="G1" s="64"/>
      <x:c r="H1" s="64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優先</x:v>
      </x:c>
      <x:c r="B3" s="67" t="str">
        <x:v>ツール</x:v>
      </x:c>
      <x:c r="C3" s="67" t="str">
        <x:v>用途</x:v>
      </x:c>
      <x:c r="D3" s="67" t="str">
        <x:v>入れる場所</x:v>
      </x:c>
      <x:c r="E3" s="67" t="str">
        <x:v>確認コマンド/方法</x:v>
      </x:c>
      <x:c r="F3" s="67" t="str">
        <x:v>Codexの使い方</x:v>
      </x:c>
      <x:c r="G3" s="67" t="str">
        <x:v>最初から必要？</x:v>
      </x:c>
      <x:c r="H3" s="67" t="str">
        <x:v>備考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n">
        <x:v>1</x:v>
      </x:c>
      <x:c r="B4" s="68" t="str">
        <x:v>Codex CLI</x:v>
      </x:c>
      <x:c r="C4" s="68" t="str">
        <x:v>制作全体のオーケストレーター</x:v>
      </x:c>
      <x:c r="D4" s="68" t="str">
        <x:v>PC/Mac</x:v>
      </x:c>
      <x:c r="E4" s="68" t="str">
        <x:v>codex --version</x:v>
      </x:c>
      <x:c r="F4" s="68" t="str">
        <x:v>このフォルダを開いてCodexを起動</x:v>
      </x:c>
      <x:c r="G4" s="68" t="str">
        <x:v>必須</x:v>
      </x:c>
      <x:c r="H4" s="68" t="str">
        <x:v>プロジェクト単位でAGENTS.mdを置く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n">
        <x:v>2</x:v>
      </x:c>
      <x:c r="B5" s="68" t="str">
        <x:v>Git</x:v>
      </x:c>
      <x:c r="C5" s="68" t="str">
        <x:v>設定・台本・スクリプトの履歴管理</x:v>
      </x:c>
      <x:c r="D5" s="68" t="str">
        <x:v>PC/Mac</x:v>
      </x:c>
      <x:c r="E5" s="68" t="str">
        <x:v>git --version</x:v>
      </x:c>
      <x:c r="F5" s="68" t="str">
        <x:v>Codexにcommit前diffを確認させる</x:v>
      </x:c>
      <x:c r="G5" s="68" t="str">
        <x:v>推奨</x:v>
      </x:c>
      <x:c r="H5" s="68" t="str">
        <x:v>動画ファイル自体はGit管理しない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n">
        <x:v>3</x:v>
      </x:c>
      <x:c r="B6" s="68" t="str">
        <x:v>Python 3.11+</x:v>
      </x:c>
      <x:c r="C6" s="68" t="str">
        <x:v>API取得・CSV処理・字幕/補助処理</x:v>
      </x:c>
      <x:c r="D6" s="68" t="str">
        <x:v>PC/Mac</x:v>
      </x:c>
      <x:c r="E6" s="68" t="str">
        <x:v>python --version</x:v>
      </x:c>
      <x:c r="F6" s="68" t="str">
        <x:v>Codexにvenv/requirementsを作らせる</x:v>
      </x:c>
      <x:c r="G6" s="68" t="str">
        <x:v>推奨</x:v>
      </x:c>
      <x:c r="H6" s="68" t="str">
        <x:v>Node中心でも可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n">
        <x:v>4</x:v>
      </x:c>
      <x:c r="B7" s="68" t="str">
        <x:v>Node.js</x:v>
      </x:c>
      <x:c r="C7" s="68" t="str">
        <x:v>サムネHTML/Playwright等</x:v>
      </x:c>
      <x:c r="D7" s="68" t="str">
        <x:v>PC/Mac</x:v>
      </x:c>
      <x:c r="E7" s="68" t="str">
        <x:v>node --version</x:v>
      </x:c>
      <x:c r="F7" s="68" t="str">
        <x:v>HTML→PNGサムネ生成に使う</x:v>
      </x:c>
      <x:c r="G7" s="68" t="str">
        <x:v>推奨</x:v>
      </x:c>
      <x:c r="H7" s="68" t="str">
        <x:v>Pythonだけでも代替可能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n">
        <x:v>5</x:v>
      </x:c>
      <x:c r="B8" s="68" t="str">
        <x:v>FFmpeg</x:v>
      </x:c>
      <x:c r="C8" s="68" t="str">
        <x:v>動画・音声・字幕の結合</x:v>
      </x:c>
      <x:c r="D8" s="68" t="str">
        <x:v>PC/Mac</x:v>
      </x:c>
      <x:c r="E8" s="68" t="str">
        <x:v>ffmpeg -version</x:v>
      </x:c>
      <x:c r="F8" s="68" t="str">
        <x:v>Codexが編集scriptを生成/実行</x:v>
      </x:c>
      <x:c r="G8" s="68" t="str">
        <x:v>必須</x:v>
      </x:c>
      <x:c r="H8" s="68" t="str">
        <x:v>編集自動化のコア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n">
        <x:v>6</x:v>
      </x:c>
      <x:c r="B9" s="68" t="str">
        <x:v>YouTube Data API</x:v>
      </x:c>
      <x:c r="C9" s="68" t="str">
        <x:v>競合/自動画メタデータ</x:v>
      </x:c>
      <x:c r="D9" s="68" t="str">
        <x:v>Google Cloud</x:v>
      </x:c>
      <x:c r="E9" s="68" t="str">
        <x:v>APIキー作成</x:v>
      </x:c>
      <x:c r="F9" s="68" t="str">
        <x:v>Codexが取得scriptを作る</x:v>
      </x:c>
      <x:c r="G9" s="68" t="str">
        <x:v>後で</x:v>
      </x:c>
      <x:c r="H9" s="68" t="str">
        <x:v>最初の3本は手動でも可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n">
        <x:v>7</x:v>
      </x:c>
      <x:c r="B10" s="68" t="str">
        <x:v>YouTube Analytics API</x:v>
      </x:c>
      <x:c r="C10" s="68" t="str">
        <x:v>自分の指標分析</x:v>
      </x:c>
      <x:c r="D10" s="68" t="str">
        <x:v>Google Cloud OAuth</x:v>
      </x:c>
      <x:c r="E10" s="68" t="str">
        <x:v>OAuth接続</x:v>
      </x:c>
      <x:c r="F10" s="68" t="str">
        <x:v>CSV取得→Codex分析</x:v>
      </x:c>
      <x:c r="G10" s="68" t="str">
        <x:v>後で</x:v>
      </x:c>
      <x:c r="H10" s="68" t="str">
        <x:v>公開後に導入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8" t="n">
        <x:v>8</x:v>
      </x:c>
      <x:c r="B11" s="68" t="str">
        <x:v>音声TTS</x:v>
      </x:c>
      <x:c r="C11" s="68" t="str">
        <x:v>ナレーション生成</x:v>
      </x:c>
      <x:c r="D11" s="68" t="str">
        <x:v>API/ローカル</x:v>
      </x:c>
      <x:c r="E11" s="68" t="str">
        <x:v>サンプル音声確認</x:v>
      </x:c>
      <x:c r="F11" s="68" t="str">
        <x:v>台本→章別音声</x:v>
      </x:c>
      <x:c r="G11" s="68" t="str">
        <x:v>必須</x:v>
      </x:c>
      <x:c r="H11" s="68" t="str">
        <x:v>声は固定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8" t="n">
        <x:v>9</x:v>
      </x:c>
      <x:c r="B12" s="68" t="str">
        <x:v>画面録画</x:v>
      </x:c>
      <x:c r="C12" s="68" t="str">
        <x:v>実際のスマホ操作</x:v>
      </x:c>
      <x:c r="D12" s="68" t="str">
        <x:v>iPhone/Android</x:v>
      </x:c>
      <x:c r="E12" s="68" t="str">
        <x:v>端末の画面録画</x:v>
      </x:c>
      <x:c r="F12" s="68" t="str">
        <x:v>Codexが撮影手順を作る</x:v>
      </x:c>
      <x:c r="G12" s="68" t="str">
        <x:v>必須</x:v>
      </x:c>
      <x:c r="H12" s="68" t="str">
        <x:v>ここだけ人間中心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8" t="n">
        <x:v>10</x:v>
      </x:c>
      <x:c r="B13" s="68" t="str">
        <x:v>画像/アイコン素材</x:v>
      </x:c>
      <x:c r="C13" s="68" t="str">
        <x:v>図解・補足</x:v>
      </x:c>
      <x:c r="D13" s="68" t="str">
        <x:v>assets/</x:v>
      </x:c>
      <x:c r="E13" s="68" t="str">
        <x:v>ライセンス確認</x:v>
      </x:c>
      <x:c r="F13" s="68" t="str">
        <x:v>Codexが必要素材一覧を作る</x:v>
      </x:c>
      <x:c r="G13" s="68" t="str">
        <x:v>必須</x:v>
      </x:c>
      <x:c r="H13" s="68" t="str">
        <x:v>公式画面と自作図解優先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80" t="str">
        <x:v>導入順：Codex → Git → FFmpeg → TTS → 画面録画。API連携は3本作った後でもいい。</x:v>
      </x:c>
      <x:c r="B16" s="80"/>
      <x:c r="C16" s="80"/>
      <x:c r="D16" s="80"/>
      <x:c r="E16" s="80"/>
      <x:c r="F16" s="80"/>
      <x:c r="G16" s="80"/>
      <x:c r="H16" s="80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H1"/>
    <x:mergeCell ref="A16:H16"/>
  </x:mergeCells>
  <x:conditionalFormatting sqref="G4:G13">
    <x:cfRule type="expression" dxfId="2" priority="1">
      <x:formula>$G4="必須"</x:formula>
    </x:cfRule>
    <x:cfRule type="expression" dxfId="3" priority="2">
      <x:formula>$G4="後で"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32" hidden="0" customWidth="1"/>
    <x:col min="4" max="4" width="20" hidden="0" customWidth="1"/>
    <x:col min="5" max="5" width="13" hidden="0" customWidth="1"/>
    <x:col min="6" max="6" width="34" hidden="0" customWidth="1"/>
  </x:cols>
  <x:sheetData>
    <x:row r="1">
      <x:c r="A1" s="64" t="str">
        <x:v>推奨フォルダ構成｜Codexが迷わない構造</x:v>
      </x:c>
      <x:c r="B1" s="64"/>
      <x:c r="C1" s="64"/>
      <x:c r="D1" s="64"/>
      <x:c r="E1" s="64"/>
      <x:c r="F1" s="64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パス</x:v>
      </x:c>
      <x:c r="B3" s="67" t="str">
        <x:v>種類</x:v>
      </x:c>
      <x:c r="C3" s="67" t="str">
        <x:v>役割</x:v>
      </x:c>
      <x:c r="D3" s="67" t="str">
        <x:v>Codexが読む/作る</x:v>
      </x:c>
      <x:c r="E3" s="67" t="str">
        <x:v>Git管理</x:v>
      </x:c>
      <x:c r="F3" s="67" t="str">
        <x:v>メモ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str">
        <x:v>youtube-anshin/</x:v>
      </x:c>
      <x:c r="B4" s="68" t="str">
        <x:v>root</x:v>
      </x:c>
      <x:c r="C4" s="68" t="str">
        <x:v>プロジェクト全体</x:v>
      </x:c>
      <x:c r="D4" s="68" t="str">
        <x:v>読む</x:v>
      </x:c>
      <x:c r="E4" s="68" t="str">
        <x:v>○</x:v>
      </x:c>
      <x:c r="F4" s="68" t="str">
        <x:v>ここでcodexを起動</x:v>
      </x:c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str">
        <x:v>AGENTS.md</x:v>
      </x:c>
      <x:c r="B5" s="68" t="str">
        <x:v>instruction</x:v>
      </x:c>
      <x:c r="C5" s="68" t="str">
        <x:v>恒久ルール</x:v>
      </x:c>
      <x:c r="D5" s="68" t="str">
        <x:v>読む</x:v>
      </x:c>
      <x:c r="E5" s="68" t="str">
        <x:v>○</x:v>
      </x:c>
      <x:c r="F5" s="68" t="str">
        <x:v>最重要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str">
        <x:v>README.md</x:v>
      </x:c>
      <x:c r="B6" s="68" t="str">
        <x:v>doc</x:v>
      </x:c>
      <x:c r="C6" s="68" t="str">
        <x:v>人間向け概要</x:v>
      </x:c>
      <x:c r="D6" s="68" t="str">
        <x:v>読む/更新</x:v>
      </x:c>
      <x:c r="E6" s="68" t="str">
        <x:v>○</x:v>
      </x:c>
      <x:c r="F6" s="68" t="str">
        <x:v>目的と使い方</x:v>
      </x:c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str">
        <x:v>config/channel.yaml</x:v>
      </x:c>
      <x:c r="B7" s="68" t="str">
        <x:v>config</x:v>
      </x:c>
      <x:c r="C7" s="68" t="str">
        <x:v>チャンネル名・ターゲット・NG表現</x:v>
      </x:c>
      <x:c r="D7" s="68" t="str">
        <x:v>読む</x:v>
      </x:c>
      <x:c r="E7" s="68" t="str">
        <x:v>○</x:v>
      </x:c>
      <x:c r="F7" s="68" t="str">
        <x:v>設定をコードから分離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str">
        <x:v>data/competitors.csv</x:v>
      </x:c>
      <x:c r="B8" s="68" t="str">
        <x:v>data</x:v>
      </x:c>
      <x:c r="C8" s="68" t="str">
        <x:v>競合DB</x:v>
      </x:c>
      <x:c r="D8" s="68" t="str">
        <x:v>読む/更新</x:v>
      </x:c>
      <x:c r="E8" s="68" t="str">
        <x:v>○</x:v>
      </x:c>
      <x:c r="F8" s="68" t="str">
        <x:v>YouTube API取得先</x:v>
      </x:c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str">
        <x:v>data/analytics/</x:v>
      </x:c>
      <x:c r="B9" s="68" t="str">
        <x:v>data</x:v>
      </x:c>
      <x:c r="C9" s="68" t="str">
        <x:v>自チャンネル分析CSV</x:v>
      </x:c>
      <x:c r="D9" s="68" t="str">
        <x:v>読む</x:v>
      </x:c>
      <x:c r="E9" s="68" t="str">
        <x:v>×</x:v>
      </x:c>
      <x:c r="F9" s="68" t="str">
        <x:v>個別CSV</x:v>
      </x:c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str">
        <x:v>episodes/001_google_security/</x:v>
      </x:c>
      <x:c r="B10" s="68" t="str">
        <x:v>episode</x:v>
      </x:c>
      <x:c r="C10" s="68" t="str">
        <x:v>動画1本＝1フォルダ</x:v>
      </x:c>
      <x:c r="D10" s="68" t="str">
        <x:v>読む/作る</x:v>
      </x:c>
      <x:c r="E10" s="68" t="str">
        <x:v>○※動画除外</x:v>
      </x:c>
      <x:c r="F10" s="68" t="str">
        <x:v>動画ごとに独立</x:v>
      </x:c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8" t="str">
        <x:v>episodes/.../brief.md</x:v>
      </x:c>
      <x:c r="B11" s="68" t="str">
        <x:v>doc</x:v>
      </x:c>
      <x:c r="C11" s="68" t="str">
        <x:v>企画目的・対象</x:v>
      </x:c>
      <x:c r="D11" s="68" t="str">
        <x:v>作る</x:v>
      </x:c>
      <x:c r="E11" s="68" t="str">
        <x:v>○</x:v>
      </x:c>
      <x:c r="F11" s="68" t="str">
        <x:v>まずここ</x:v>
      </x:c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8" t="str">
        <x:v>episodes/.../sources.md</x:v>
      </x:c>
      <x:c r="B12" s="68" t="str">
        <x:v>doc</x:v>
      </x:c>
      <x:c r="C12" s="68" t="str">
        <x:v>一次情報URL・確認日</x:v>
      </x:c>
      <x:c r="D12" s="68" t="str">
        <x:v>作る</x:v>
      </x:c>
      <x:c r="E12" s="68" t="str">
        <x:v>○</x:v>
      </x:c>
      <x:c r="F12" s="68" t="str">
        <x:v>Fact check</x:v>
      </x:c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8" t="str">
        <x:v>episodes/.../script.md</x:v>
      </x:c>
      <x:c r="B13" s="68" t="str">
        <x:v>doc</x:v>
      </x:c>
      <x:c r="C13" s="68" t="str">
        <x:v>完成台本</x:v>
      </x:c>
      <x:c r="D13" s="68" t="str">
        <x:v>作る</x:v>
      </x:c>
      <x:c r="E13" s="68" t="str">
        <x:v>○</x:v>
      </x:c>
      <x:c r="F13" s="68" t="str">
        <x:v>人間承認対象</x:v>
      </x:c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8" t="str">
        <x:v>episodes/.../shotlist.md</x:v>
      </x:c>
      <x:c r="B14" s="68" t="str">
        <x:v>doc</x:v>
      </x:c>
      <x:c r="C14" s="68" t="str">
        <x:v>実機録画手順</x:v>
      </x:c>
      <x:c r="D14" s="68" t="str">
        <x:v>作る</x:v>
      </x:c>
      <x:c r="E14" s="68" t="str">
        <x:v>○</x:v>
      </x:c>
      <x:c r="F14" s="68" t="str">
        <x:v>番号で素材と対応</x:v>
      </x:c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8" t="str">
        <x:v>episodes/.../raw/</x:v>
      </x:c>
      <x:c r="B15" s="68" t="str">
        <x:v>media</x:v>
      </x:c>
      <x:c r="C15" s="68" t="str">
        <x:v>人間が録画した素材</x:v>
      </x:c>
      <x:c r="D15" s="68" t="str">
        <x:v>読む</x:v>
      </x:c>
      <x:c r="E15" s="68" t="str">
        <x:v>×</x:v>
      </x:c>
      <x:c r="F15" s="68" t="str">
        <x:v>基本Git除外</x:v>
      </x:c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8" t="str">
        <x:v>episodes/.../audio/</x:v>
      </x:c>
      <x:c r="B16" s="68" t="str">
        <x:v>media</x:v>
      </x:c>
      <x:c r="C16" s="68" t="str">
        <x:v>TTS音声</x:v>
      </x:c>
      <x:c r="D16" s="68" t="str">
        <x:v>作る</x:v>
      </x:c>
      <x:c r="E16" s="68" t="str">
        <x:v>×</x:v>
      </x:c>
      <x:c r="F16" s="68" t="str">
        <x:v>自動生成</x:v>
      </x:c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8" t="str">
        <x:v>episodes/.../captions.srt</x:v>
      </x:c>
      <x:c r="B17" s="68" t="str">
        <x:v>subtitle</x:v>
      </x:c>
      <x:c r="C17" s="68" t="str">
        <x:v>字幕</x:v>
      </x:c>
      <x:c r="D17" s="68" t="str">
        <x:v>作る</x:v>
      </x:c>
      <x:c r="E17" s="68" t="str">
        <x:v>○</x:v>
      </x:c>
      <x:c r="F17" s="68" t="str">
        <x:v>テキスト管理可</x:v>
      </x:c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8" t="str">
        <x:v>episodes/.../final/</x:v>
      </x:c>
      <x:c r="B18" s="68" t="str">
        <x:v>media</x:v>
      </x:c>
      <x:c r="C18" s="68" t="str">
        <x:v>完成mp4</x:v>
      </x:c>
      <x:c r="D18" s="68" t="str">
        <x:v>作る</x:v>
      </x:c>
      <x:c r="E18" s="68" t="str">
        <x:v>×</x:v>
      </x:c>
      <x:c r="F18" s="68" t="str">
        <x:v>書き出し</x:v>
      </x:c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8" t="str">
        <x:v>episodes/.../thumbnail/</x:v>
      </x:c>
      <x:c r="B19" s="68" t="str">
        <x:v>image</x:v>
      </x:c>
      <x:c r="C19" s="68" t="str">
        <x:v>サムネ案</x:v>
      </x:c>
      <x:c r="D19" s="68" t="str">
        <x:v>作る</x:v>
      </x:c>
      <x:c r="E19" s="68" t="str">
        <x:v>△</x:v>
      </x:c>
      <x:c r="F19" s="68" t="str">
        <x:v>テンプレは○</x:v>
      </x:c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8" t="str">
        <x:v>templates/</x:v>
      </x:c>
      <x:c r="B20" s="68" t="str">
        <x:v>template</x:v>
      </x:c>
      <x:c r="C20" s="68" t="str">
        <x:v>台本・サムネ・説明欄の型</x:v>
      </x:c>
      <x:c r="D20" s="68" t="str">
        <x:v>読む</x:v>
      </x:c>
      <x:c r="E20" s="68" t="str">
        <x:v>○</x:v>
      </x:c>
      <x:c r="F20" s="68" t="str">
        <x:v>Codex再利用</x:v>
      </x:c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8" t="str">
        <x:v>scripts/</x:v>
      </x:c>
      <x:c r="B21" s="68" t="str">
        <x:v>code</x:v>
      </x:c>
      <x:c r="C21" s="68" t="str">
        <x:v>取得・TTS・編集・サムネ・分析</x:v>
      </x:c>
      <x:c r="D21" s="68" t="str">
        <x:v>作る/修正</x:v>
      </x:c>
      <x:c r="E21" s="68" t="str">
        <x:v>○</x:v>
      </x:c>
      <x:c r="F21" s="68" t="str">
        <x:v>自動化資産</x:v>
      </x:c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8" t="str">
        <x:v>logs/</x:v>
      </x:c>
      <x:c r="B22" s="68" t="str">
        <x:v>log</x:v>
      </x:c>
      <x:c r="C22" s="68" t="str">
        <x:v>実行ログ</x:v>
      </x:c>
      <x:c r="D22" s="68" t="str">
        <x:v>作る</x:v>
      </x:c>
      <x:c r="E22" s="68" t="str">
        <x:v>×</x:v>
      </x:c>
      <x:c r="F22" s="68" t="str">
        <x:v>失敗解析</x:v>
      </x:c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8" t="str">
        <x:v>.env</x:v>
      </x:c>
      <x:c r="B23" s="68" t="str">
        <x:v>secret</x:v>
      </x:c>
      <x:c r="C23" s="68" t="str">
        <x:v>APIキー</x:v>
      </x:c>
      <x:c r="D23" s="68" t="str">
        <x:v>読む（必要時）</x:v>
      </x:c>
      <x:c r="E23" s="68" t="str">
        <x:v>絶対×</x:v>
      </x:c>
      <x:c r="F23" s="68" t="str">
        <x:v>Gitignore必須</x:v>
      </x:c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8" t="str">
        <x:v>.gitignore</x:v>
      </x:c>
      <x:c r="B24" s="68" t="str">
        <x:v>config</x:v>
      </x:c>
      <x:c r="C24" s="68" t="str">
        <x:v>除外設定</x:v>
      </x:c>
      <x:c r="D24" s="68" t="str">
        <x:v>読む/更新</x:v>
      </x:c>
      <x:c r="E24" s="68" t="str">
        <x:v>○</x:v>
      </x:c>
      <x:c r="F24" s="68" t="str">
        <x:v>raw/final/.env除外</x:v>
      </x:c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F1"/>
  </x:mergeCells>
  <x:conditionalFormatting sqref="E4:E24">
    <x:cfRule type="expression" dxfId="4" priority="1">
      <x:formula>$E4="絶対×"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64" t="str">
        <x:v>AGENTS.md｜Codexに毎回説明しなくて済む恒久ルール</x:v>
      </x:c>
      <x:c r="B1" s="64"/>
      <x:c r="C1" s="64"/>
      <x:c r="D1" s="64"/>
      <x:c r="E1" s="64"/>
      <x:c r="F1" s="64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項目</x:v>
      </x:c>
      <x:c r="B3" s="67" t="str">
        <x:v>内容</x:v>
      </x:c>
      <x:c r="C3" s="65"/>
      <x:c r="D3" s="66" t="str">
        <x:v>AGENTS.md にそのまま入れる短縮版</x:v>
      </x:c>
      <x:c r="E3" s="66"/>
      <x:c r="F3" s="66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str">
        <x:v>目的</x:v>
      </x:c>
      <x:c r="B4" s="68" t="str">
        <x:v>50〜70代中心の視聴者に、スマホ・詐欺・AIを難しい言葉なしで説明するYouTubeチャンネルを運営する。</x:v>
      </x:c>
      <x:c r="C4" s="65"/>
      <x:c r="D4" s="55" t="str">
        <x:v># YouTube 大人のデジタル安心室
## Goal
50〜70代を中心に、スマホ・詐欺・AIを難しい言葉なしで説明する。
## Brand
「怖がらせる前に、確認する。」
## Rules
- 正確性 &gt; 再生数。
- Apple / Google / LINE / デジタル庁 / 警察庁 / 通信会社など一次情報を優先する。
- sources.md に URL と確認日を残す。
- 競合動画の文章をコピーしない。
- 根拠以上に「危険」「絶対」「全員」などと断定しない。
- 設定解説は実機または公式画面を優先する。
- 動画は原則8〜15分。
- 各動画フォルダに brief.md, sources.md, script.md, shotlist.md, captions.srt, publish.json を作る。
- 公開前に fact / language / visual / audio / policy を確認する。
- 最初の3本は実機録画以外をCodex中心で進め、安定した工程だけ自動化する。
</x:v>
      </x:c>
      <x:c r="E4" s="55"/>
      <x:c r="F4" s="5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str">
        <x:v>最優先</x:v>
      </x:c>
      <x:c r="B5" s="68" t="str">
        <x:v>正確性 &gt; 視聴回数。一次情報と実機確認を優先する。</x:v>
      </x:c>
      <x:c r="C5" s="65"/>
      <x:c r="D5" s="55"/>
      <x:c r="E5" s="55"/>
      <x:c r="F5" s="5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str">
        <x:v>ブランド</x:v>
      </x:c>
      <x:c r="B6" s="68" t="str">
        <x:v>『怖がらせる前に、確認する。』</x:v>
      </x:c>
      <x:c r="C6" s="65"/>
      <x:c r="D6" s="55"/>
      <x:c r="E6" s="55"/>
      <x:c r="F6" s="5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str">
        <x:v>禁止</x:v>
      </x:c>
      <x:c r="B7" s="68" t="str">
        <x:v>競合動画の台本コピー、根拠のない恐怖煽り、存在しない設定画面の生成、一次情報なしの断定。</x:v>
      </x:c>
      <x:c r="C7" s="65"/>
      <x:c r="D7" s="55"/>
      <x:c r="E7" s="55"/>
      <x:c r="F7" s="5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str">
        <x:v>一次情報</x:v>
      </x:c>
      <x:c r="B8" s="68" t="str">
        <x:v>Apple/Google/LINE/デジタル庁/警察庁/通信会社等を優先し、sources.mdにURLと確認日を記録。</x:v>
      </x:c>
      <x:c r="C8" s="65"/>
      <x:c r="D8" s="55"/>
      <x:c r="E8" s="55"/>
      <x:c r="F8" s="5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str">
        <x:v>台本</x:v>
      </x:c>
      <x:c r="B9" s="68" t="str">
        <x:v>冒頭20秒で結論→なぜ必要か→手順→注意→まとめ。専門語は直後に平易な説明を付ける。</x:v>
      </x:c>
      <x:c r="C9" s="65"/>
      <x:c r="D9" s="55"/>
      <x:c r="E9" s="55"/>
      <x:c r="F9" s="5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str">
        <x:v>実機</x:v>
      </x:c>
      <x:c r="B10" s="68" t="str">
        <x:v>設定案内は、可能な限り実機または公式画面を使う。</x:v>
      </x:c>
      <x:c r="C10" s="65"/>
      <x:c r="D10" s="55"/>
      <x:c r="E10" s="55"/>
      <x:c r="F10" s="5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8" t="str">
        <x:v>動画尺</x:v>
      </x:c>
      <x:c r="B11" s="68" t="str">
        <x:v>原則8〜15分。情報量が少なければ無理に伸ばさない。</x:v>
      </x:c>
      <x:c r="C11" s="65"/>
      <x:c r="D11" s="55"/>
      <x:c r="E11" s="55"/>
      <x:c r="F11" s="5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8" t="str">
        <x:v>出力</x:v>
      </x:c>
      <x:c r="B12" s="68" t="str">
        <x:v>各episodeに brief.md / sources.md / script.md / shotlist.md / captions.srt / publish.json を作る。</x:v>
      </x:c>
      <x:c r="C12" s="65"/>
      <x:c r="D12" s="55"/>
      <x:c r="E12" s="55"/>
      <x:c r="F12" s="5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8" t="str">
        <x:v>安全</x:v>
      </x:c>
      <x:c r="B13" s="68" t="str">
        <x:v>金融・医療・法律の個別助言をしない。詐欺対策は警察/公式窓口も案内する。</x:v>
      </x:c>
      <x:c r="C13" s="65"/>
      <x:c r="D13" s="55"/>
      <x:c r="E13" s="55"/>
      <x:c r="F13" s="5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8" t="str">
        <x:v>レビュー</x:v>
      </x:c>
      <x:c r="B14" s="68" t="str">
        <x:v>公開前に fact / language / visual / audio / policy の5観点でレビュー。</x:v>
      </x:c>
      <x:c r="C14" s="65"/>
      <x:c r="D14" s="55"/>
      <x:c r="E14" s="55"/>
      <x:c r="F14" s="5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8" t="str">
        <x:v>自動化</x:v>
      </x:c>
      <x:c r="B15" s="68" t="str">
        <x:v>まず3本完成させ、再現性が確認できた工程だけscripts/へ自動化する。</x:v>
      </x:c>
      <x:c r="C15" s="65"/>
      <x:c r="D15" s="55"/>
      <x:c r="E15" s="55"/>
      <x:c r="F15" s="5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55"/>
      <x:c r="E16" s="55"/>
      <x:c r="F16" s="5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F1"/>
    <x:mergeCell ref="D3:F3"/>
    <x:mergeCell ref="D4:F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" hidden="0" customWidth="1"/>
    <x:col min="3" max="3" width="19" hidden="0" customWidth="1"/>
    <x:col min="4" max="4" width="46" hidden="0" customWidth="1"/>
    <x:col min="5" max="5" width="26" hidden="0" customWidth="1"/>
    <x:col min="6" max="6" width="24" hidden="0" customWidth="1"/>
    <x:col min="7" max="7" width="31" hidden="0" customWidth="1"/>
    <x:col min="8" max="8" width="25" hidden="0" customWidth="1"/>
    <x:col min="9" max="9" width="11" hidden="0" customWidth="1"/>
    <x:col min="10" max="10" width="26" hidden="0" customWidth="1"/>
  </x:cols>
  <x:sheetData>
    <x:row r="1">
      <x:c r="A1" s="64" t="str">
        <x:v>1本の動画を作る実作業フロー｜Codexに何を任せるか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Step</x:v>
      </x:c>
      <x:c r="B3" s="67" t="str">
        <x:v>工程</x:v>
      </x:c>
      <x:c r="C3" s="67" t="str">
        <x:v>開始条件</x:v>
      </x:c>
      <x:c r="D3" s="67" t="str">
        <x:v>Codexへの指示</x:v>
      </x:c>
      <x:c r="E3" s="67" t="str">
        <x:v>Codexの出力</x:v>
      </x:c>
      <x:c r="F3" s="67" t="str">
        <x:v>人間の作業</x:v>
      </x:c>
      <x:c r="G3" s="67" t="str">
        <x:v>確認ポイント</x:v>
      </x:c>
      <x:c r="H3" s="67" t="str">
        <x:v>完了ファイル</x:v>
      </x:c>
      <x:c r="I3" s="67" t="str">
        <x:v>自動化度</x:v>
      </x:c>
      <x:c r="J3" s="67" t="str">
        <x:v>失敗時</x:v>
      </x:c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n">
        <x:v>1</x:v>
      </x:c>
      <x:c r="B4" s="68" t="str">
        <x:v>企画候補</x:v>
      </x:c>
      <x:c r="C4" s="68" t="str">
        <x:v>テーマ未決定</x:v>
      </x:c>
      <x:c r="D4" s="68" t="str">
        <x:v>競合DBと最近の一次情報から候補10本を出し、需要/競合/寿命/実機可否を5点採点</x:v>
      </x:c>
      <x:c r="E4" s="68" t="str">
        <x:v>candidates.csv</x:v>
      </x:c>
      <x:c r="F4" s="68" t="str">
        <x:v>1本選ぶ</x:v>
      </x:c>
      <x:c r="G4" s="68" t="str">
        <x:v>競合直近に同企画が多すぎないか</x:v>
      </x:c>
      <x:c r="H4" s="68" t="str">
        <x:v>brief.md</x:v>
      </x:c>
      <x:c r="I4" s="82" t="n">
        <x:v>0.9</x:v>
      </x:c>
      <x:c r="J4" s="68" t="str">
        <x:v>候補根拠を再調査</x:v>
      </x:c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n">
        <x:v>2</x:v>
      </x:c>
      <x:c r="B5" s="68" t="str">
        <x:v>リサーチ</x:v>
      </x:c>
      <x:c r="C5" s="68" t="str">
        <x:v>brief.md完成</x:v>
      </x:c>
      <x:c r="D5" s="68" t="str">
        <x:v>公式一次情報を最低2件探し、事実・手順・注意点・不明点を整理</x:v>
      </x:c>
      <x:c r="E5" s="68" t="str">
        <x:v>sources.md</x:v>
      </x:c>
      <x:c r="F5" s="68" t="str">
        <x:v>重要箇所だけ確認</x:v>
      </x:c>
      <x:c r="G5" s="68" t="str">
        <x:v>URL・日付・OS差分</x:v>
      </x:c>
      <x:c r="H5" s="68" t="str">
        <x:v>sources.md</x:v>
      </x:c>
      <x:c r="I5" s="82" t="n">
        <x:v>0.9</x:v>
      </x:c>
      <x:c r="J5" s="68" t="str">
        <x:v>断定せず保留</x:v>
      </x:c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n">
        <x:v>3</x:v>
      </x:c>
      <x:c r="B6" s="68" t="str">
        <x:v>台本</x:v>
      </x:c>
      <x:c r="C6" s="68" t="str">
        <x:v>sources.md承認</x:v>
      </x:c>
      <x:c r="D6" s="68" t="str">
        <x:v>8〜12分、50〜70代向け。専門語を避け、実機映像箇所を[SHOT-01]で指定</x:v>
      </x:c>
      <x:c r="E6" s="68" t="str">
        <x:v>script.md</x:v>
      </x:c>
      <x:c r="F6" s="68" t="str">
        <x:v>読みやすさ確認</x:v>
      </x:c>
      <x:c r="G6" s="68" t="str">
        <x:v>煽り過ぎ/言い切り/冗長</x:v>
      </x:c>
      <x:c r="H6" s="68" t="str">
        <x:v>script.md</x:v>
      </x:c>
      <x:c r="I6" s="82" t="n">
        <x:v>0.95</x:v>
      </x:c>
      <x:c r="J6" s="68" t="str">
        <x:v>該当段落のみ修正</x:v>
      </x:c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n">
        <x:v>4</x:v>
      </x:c>
      <x:c r="B7" s="68" t="str">
        <x:v>ショットリスト</x:v>
      </x:c>
      <x:c r="C7" s="68" t="str">
        <x:v>script.md完成</x:v>
      </x:c>
      <x:c r="D7" s="68" t="str">
        <x:v>SHOTタグからiPhone/Android別の画面録画手順を番号付きに分解</x:v>
      </x:c>
      <x:c r="E7" s="68" t="str">
        <x:v>shotlist.md</x:v>
      </x:c>
      <x:c r="F7" s="68" t="str">
        <x:v>スマホで録画</x:v>
      </x:c>
      <x:c r="G7" s="68" t="str">
        <x:v>OSバージョン/個人情報</x:v>
      </x:c>
      <x:c r="H7" s="68" t="str">
        <x:v>raw/*.mp4</x:v>
      </x:c>
      <x:c r="I7" s="82" t="n">
        <x:v>0.7</x:v>
      </x:c>
      <x:c r="J7" s="68" t="str">
        <x:v>不足分だけ撮り直し</x:v>
      </x:c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n">
        <x:v>5</x:v>
      </x:c>
      <x:c r="B8" s="68" t="str">
        <x:v>素材検品</x:v>
      </x:c>
      <x:c r="C8" s="68" t="str">
        <x:v>rawあり</x:v>
      </x:c>
      <x:c r="D8" s="68" t="str">
        <x:v>動画を一覧化しshotlistと照合。欠落/重複/使えない素材を分類</x:v>
      </x:c>
      <x:c r="E8" s="68" t="str">
        <x:v>media_manifest.csv</x:v>
      </x:c>
      <x:c r="F8" s="68" t="str">
        <x:v>不足素材だけ追加録画</x:v>
      </x:c>
      <x:c r="G8" s="68" t="str">
        <x:v>必要画面が揃ったか</x:v>
      </x:c>
      <x:c r="H8" s="68" t="str">
        <x:v>media_manifest.csv</x:v>
      </x:c>
      <x:c r="I8" s="82" t="n">
        <x:v>0.9</x:v>
      </x:c>
      <x:c r="J8" s="68" t="str">
        <x:v>不足ショット一覧</x:v>
      </x:c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n">
        <x:v>6</x:v>
      </x:c>
      <x:c r="B9" s="68" t="str">
        <x:v>TTS</x:v>
      </x:c>
      <x:c r="C9" s="68" t="str">
        <x:v>script承認</x:v>
      </x:c>
      <x:c r="D9" s="68" t="str">
        <x:v>ナレーション用に読みを整え、章ごとに音声生成</x:v>
      </x:c>
      <x:c r="E9" s="68" t="str">
        <x:v>audio/*.wav</x:v>
      </x:c>
      <x:c r="F9" s="68" t="str">
        <x:v>音声サンプル確認</x:v>
      </x:c>
      <x:c r="G9" s="68" t="str">
        <x:v>読み間違い/速度/固有名詞</x:v>
      </x:c>
      <x:c r="H9" s="68" t="str">
        <x:v>audio/</x:v>
      </x:c>
      <x:c r="I9" s="82" t="n">
        <x:v>0.95</x:v>
      </x:c>
      <x:c r="J9" s="68" t="str">
        <x:v>辞書更新→再生成</x:v>
      </x:c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n">
        <x:v>7</x:v>
      </x:c>
      <x:c r="B10" s="68" t="str">
        <x:v>字幕</x:v>
      </x:c>
      <x:c r="C10" s="68" t="str">
        <x:v>audioあり</x:v>
      </x:c>
      <x:c r="D10" s="68" t="str">
        <x:v>台本と音声区切りからSRT生成。1行を短く</x:v>
      </x:c>
      <x:c r="E10" s="68" t="str">
        <x:v>captions.srt</x:v>
      </x:c>
      <x:c r="F10" s="68" t="str">
        <x:v>ざっと確認</x:v>
      </x:c>
      <x:c r="G10" s="68" t="str">
        <x:v>長文字幕/誤変換</x:v>
      </x:c>
      <x:c r="H10" s="68" t="str">
        <x:v>captions.srt</x:v>
      </x:c>
      <x:c r="I10" s="82" t="n">
        <x:v>0.95</x:v>
      </x:c>
      <x:c r="J10" s="68" t="str">
        <x:v>該当行のみ修正</x:v>
      </x:c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8" t="n">
        <x:v>8</x:v>
      </x:c>
      <x:c r="B11" s="68" t="str">
        <x:v>編集</x:v>
      </x:c>
      <x:c r="C11" s="68" t="str">
        <x:v>raw+audio+字幕</x:v>
      </x:c>
      <x:c r="D11" s="68" t="str">
        <x:v>FFmpegで章ごとに素材配置。ズーム/赤枠/章見出しはテンプレ化</x:v>
      </x:c>
      <x:c r="E11" s="68" t="str">
        <x:v>draft.mp4</x:v>
      </x:c>
      <x:c r="F11" s="68" t="str">
        <x:v>通し確認</x:v>
      </x:c>
      <x:c r="G11" s="68" t="str">
        <x:v>画面と音声の不一致</x:v>
      </x:c>
      <x:c r="H11" s="68" t="str">
        <x:v>draft.mp4</x:v>
      </x:c>
      <x:c r="I11" s="82" t="n">
        <x:v>0.9</x:v>
      </x:c>
      <x:c r="J11" s="68" t="str">
        <x:v>タイムコード指定で再編集</x:v>
      </x:c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8" t="n">
        <x:v>9</x:v>
      </x:c>
      <x:c r="B12" s="68" t="str">
        <x:v>QC</x:v>
      </x:c>
      <x:c r="C12" s="68" t="str">
        <x:v>draft.mp4</x:v>
      </x:c>
      <x:c r="D12" s="68" t="str">
        <x:v>台本・sources・字幕・映像を5観点でレビューし問題一覧化</x:v>
      </x:c>
      <x:c r="E12" s="68" t="str">
        <x:v>qc.md</x:v>
      </x:c>
      <x:c r="F12" s="68" t="str">
        <x:v>重大項目だけ判断</x:v>
      </x:c>
      <x:c r="G12" s="68" t="str">
        <x:v>誤情報/個人情報/誤操作</x:v>
      </x:c>
      <x:c r="H12" s="68" t="str">
        <x:v>qc.md</x:v>
      </x:c>
      <x:c r="I12" s="82" t="n">
        <x:v>0.8</x:v>
      </x:c>
      <x:c r="J12" s="68" t="str">
        <x:v>修正→再QC</x:v>
      </x:c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8" t="n">
        <x:v>10</x:v>
      </x:c>
      <x:c r="B13" s="68" t="str">
        <x:v>サムネ</x:v>
      </x:c>
      <x:c r="C13" s="68" t="str">
        <x:v>動画完成</x:v>
      </x:c>
      <x:c r="D13" s="68" t="str">
        <x:v>タイトル5案＋短文3案。HTML/SVGテンプレからPNG生成</x:v>
      </x:c>
      <x:c r="E13" s="68" t="str">
        <x:v>thumb_01〜03.png</x:v>
      </x:c>
      <x:c r="F13" s="68" t="str">
        <x:v>1案選択</x:v>
      </x:c>
      <x:c r="G13" s="68" t="str">
        <x:v>6文字前後/スマホで読める</x:v>
      </x:c>
      <x:c r="H13" s="68" t="str">
        <x:v>thumbnail/*.png</x:v>
      </x:c>
      <x:c r="I13" s="82" t="n">
        <x:v>0.9</x:v>
      </x:c>
      <x:c r="J13" s="68" t="str">
        <x:v>CTR仮説を変えて再生成</x:v>
      </x:c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8" t="n">
        <x:v>11</x:v>
      </x:c>
      <x:c r="B14" s="68" t="str">
        <x:v>投稿文</x:v>
      </x:c>
      <x:c r="C14" s="68" t="str">
        <x:v>完成動画あり</x:v>
      </x:c>
      <x:c r="D14" s="68" t="str">
        <x:v>タイトル・説明欄・章・固定コメント・根拠URLをまとめる</x:v>
      </x:c>
      <x:c r="E14" s="68" t="str">
        <x:v>publish.json</x:v>
      </x:c>
      <x:c r="F14" s="68" t="str">
        <x:v>YouTubeへ投稿</x:v>
      </x:c>
      <x:c r="G14" s="68" t="str">
        <x:v>タイトルと内容が一致</x:v>
      </x:c>
      <x:c r="H14" s="68" t="str">
        <x:v>publish.json</x:v>
      </x:c>
      <x:c r="I14" s="82" t="n">
        <x:v>0.8</x:v>
      </x:c>
      <x:c r="J14" s="68" t="str">
        <x:v>人間が編集</x:v>
      </x:c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8" t="n">
        <x:v>12</x:v>
      </x:c>
      <x:c r="B15" s="68" t="str">
        <x:v>分析</x:v>
      </x:c>
      <x:c r="C15" s="68" t="str">
        <x:v>公開7日後</x:v>
      </x:c>
      <x:c r="D15" s="68" t="str">
        <x:v>Analyticsを前4本平均と比較しCTR/冒頭維持/平均視聴/流入別に原因分析</x:v>
      </x:c>
      <x:c r="E15" s="68" t="str">
        <x:v>review.md</x:v>
      </x:c>
      <x:c r="F15" s="68" t="str">
        <x:v>次企画を1本選ぶ</x:v>
      </x:c>
      <x:c r="G15" s="68" t="str">
        <x:v>改善点を増やしすぎない</x:v>
      </x:c>
      <x:c r="H15" s="68" t="str">
        <x:v>review.md</x:v>
      </x:c>
      <x:c r="I15" s="82" t="n">
        <x:v>0.95</x:v>
      </x:c>
      <x:c r="J15" s="68" t="str">
        <x:v>仮説1個に絞る</x:v>
      </x:c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J1"/>
  </x:mergeCells>
  <x:conditionalFormatting sqref="I4:I15">
    <x:cfRule type="dataBar" priority="1">
      <x:dataBar>
        <x:cfvo type="min"/>
        <x:cfvo type="max"/>
        <x:color rgb="FF2C7A7B"/>
      </x:dataBar>
      <x:extLst>
        <x:ext xmlns:x14="http://schemas.microsoft.com/office/spreadsheetml/2009/9/main" uri="{B025F937-C7B1-47D3-B67F-A62EFF666E3E}">
          <x14:id>{A6EFE1EB-599B-6FBA-ECB4-B4B8AD0B9467}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6EFE1EB-599B-6FBA-ECB4-B4B8AD0B9467}">
            <x14:dataBar gradient="1">
              <x14:cfvo type="min"/>
              <x14:cfvo type="max"/>
              <x14:fillColor rgb="FF2C7A7B"/>
            </x14:dataBar>
          </x14:cfRule>
          <xm:sqref>I4:I15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78" hidden="0" customWidth="1"/>
    <x:col min="4" max="4" width="28" hidden="0" customWidth="1"/>
    <x:col min="5" max="5" width="27" hidden="0" customWidth="1"/>
    <x:col min="6" max="6" width="30" hidden="0" customWidth="1"/>
  </x:cols>
  <x:sheetData>
    <x:row r="1">
      <x:c r="A1" s="64" t="str">
        <x:v>Codexプロンプト集｜コピペして使える</x:v>
      </x:c>
      <x:c r="B1" s="64"/>
      <x:c r="C1" s="64"/>
      <x:c r="D1" s="64"/>
      <x:c r="E1" s="64"/>
      <x:c r="F1" s="64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No</x:v>
      </x:c>
      <x:c r="B3" s="67" t="str">
        <x:v>用途</x:v>
      </x:c>
      <x:c r="C3" s="67" t="str">
        <x:v>Codexに渡すプロンプト</x:v>
      </x:c>
      <x:c r="D3" s="67" t="str">
        <x:v>前提ファイル</x:v>
      </x:c>
      <x:c r="E3" s="67" t="str">
        <x:v>期待出力</x:v>
      </x:c>
      <x:c r="F3" s="67" t="str">
        <x:v>人間の確認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n">
        <x:v>1</x:v>
      </x:c>
      <x:c r="B4" s="68" t="str">
        <x:v>初期構築</x:v>
      </x:c>
      <x:c r="C4" s="68" t="str">
        <x:v>このリポジトリを『大人のデジタル安心室』の動画制作プロジェクトとして初期化して。AGENTS.mdを読み、推奨フォルダ、.gitignore、テンプレート、scriptsの雛形を作って。まだAPI接続はしない。変更後に構成と使い方を説明して。</x:v>
      </x:c>
      <x:c r="D4" s="68" t="str">
        <x:v>AGENTS.md</x:v>
      </x:c>
      <x:c r="E4" s="68" t="str">
        <x:v>フォルダ一式</x:v>
      </x:c>
      <x:c r="F4" s="68" t="str">
        <x:v>大規模実装しすぎていないか</x:v>
      </x:c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n">
        <x:v>2</x:v>
      </x:c>
      <x:c r="B5" s="68" t="str">
        <x:v>企画選定</x:v>
      </x:c>
      <x:c r="C5" s="68" t="str">
        <x:v>data/competitors.csv と直近の公式情報を読み、次の動画候補を10件出して。需要・競合・寿命・実機撮影しやすさ・ブランド適合を各5点で採点。競合タイトルのコピーは禁止。上位3件の理由を説明して。</x:v>
      </x:c>
      <x:c r="D5" s="68" t="str">
        <x:v>競合DB</x:v>
      </x:c>
      <x:c r="E5" s="68" t="str">
        <x:v>candidates.csv</x:v>
      </x:c>
      <x:c r="F5" s="68" t="str">
        <x:v>今やる理由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n">
        <x:v>3</x:v>
      </x:c>
      <x:c r="B6" s="68" t="str">
        <x:v>リサーチ</x:v>
      </x:c>
      <x:c r="C6" s="68" t="str">
        <x:v>episodes/XXX/brief.md のテーマについて、一次情報を優先して調査し sources.md を作って。各主張に『確認日・URL・何が確認できたか』を付け、曖昧な点は曖昧と書いて。</x:v>
      </x:c>
      <x:c r="D6" s="68" t="str">
        <x:v>brief.md</x:v>
      </x:c>
      <x:c r="E6" s="68" t="str">
        <x:v>sources.md</x:v>
      </x:c>
      <x:c r="F6" s="68" t="str">
        <x:v>一次情報2件以上</x:v>
      </x:c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n">
        <x:v>4</x:v>
      </x:c>
      <x:c r="B7" s="68" t="str">
        <x:v>台本</x:v>
      </x:c>
      <x:c r="C7" s="68" t="str">
        <x:v>sources.mdだけを事実根拠として、50〜70代向け8〜12分台本を書いて。冒頭20秒で結論。専門語は直後に言い換え。実機映像箇所には [SHOT-01] のようにタグを付けて。</x:v>
      </x:c>
      <x:c r="D7" s="68" t="str">
        <x:v>sources.md</x:v>
      </x:c>
      <x:c r="E7" s="68" t="str">
        <x:v>script.md</x:v>
      </x:c>
      <x:c r="F7" s="68" t="str">
        <x:v>煽り/断定/冗長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n">
        <x:v>5</x:v>
      </x:c>
      <x:c r="B8" s="68" t="str">
        <x:v>撮影手順</x:v>
      </x:c>
      <x:c r="C8" s="68" t="str">
        <x:v>script.mdのSHOTタグから、iPhone/Android別の画面録画手順を作って。1ショット30〜90秒、撮影順は効率優先。個人情報が映る箇所には必ず注意マーク。</x:v>
      </x:c>
      <x:c r="D8" s="68" t="str">
        <x:v>script.md</x:v>
      </x:c>
      <x:c r="E8" s="68" t="str">
        <x:v>shotlist.md</x:v>
      </x:c>
      <x:c r="F8" s="68" t="str">
        <x:v>実際に撮れるか</x:v>
      </x:c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n">
        <x:v>6</x:v>
      </x:c>
      <x:c r="B9" s="68" t="str">
        <x:v>素材整理</x:v>
      </x:c>
      <x:c r="C9" s="68" t="str">
        <x:v>raw/の動画を一覧化し、shotlist.mdと照合して media_manifest.csv を作成。不足・重複・使えない素材を分類。ファイル名整理案も出して。</x:v>
      </x:c>
      <x:c r="D9" s="68" t="str">
        <x:v>raw/, shotlist.md</x:v>
      </x:c>
      <x:c r="E9" s="68" t="str">
        <x:v>media_manifest.csv</x:v>
      </x:c>
      <x:c r="F9" s="68" t="str">
        <x:v>勝手に削除しない</x:v>
      </x:c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n">
        <x:v>7</x:v>
      </x:c>
      <x:c r="B10" s="68" t="str">
        <x:v>編集</x:v>
      </x:c>
      <x:c r="C10" s="68" t="str">
        <x:v>media_manifest.csv、script.md、audio/、captions.srt を使ってFFmpegで draft.mp4 を生成するスクリプトを作って実行。章見出し・軽いズーム・赤枠のみ。</x:v>
      </x:c>
      <x:c r="D10" s="68" t="str">
        <x:v>全素材</x:v>
      </x:c>
      <x:c r="E10" s="68" t="str">
        <x:v>draft.mp4</x:v>
      </x:c>
      <x:c r="F10" s="68" t="str">
        <x:v>画面と説明一致</x:v>
      </x:c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8" t="n">
        <x:v>8</x:v>
      </x:c>
      <x:c r="B11" s="68" t="str">
        <x:v>QC</x:v>
      </x:c>
      <x:c r="C11" s="68" t="str">
        <x:v>draft.mp4を script.md / sources.md / captions.srt と照合し、fact・language・visual・audio・policyで問題を重大/中/軽微に分類。自動修正できる箇所は修正して再生成。</x:v>
      </x:c>
      <x:c r="D11" s="68" t="str">
        <x:v>完成前一式</x:v>
      </x:c>
      <x:c r="E11" s="68" t="str">
        <x:v>qc.md + 修正版</x:v>
      </x:c>
      <x:c r="F11" s="68" t="str">
        <x:v>重大0件</x:v>
      </x:c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8" t="n">
        <x:v>9</x:v>
      </x:c>
      <x:c r="B12" s="68" t="str">
        <x:v>サムネ</x:v>
      </x:c>
      <x:c r="C12" s="68" t="str">
        <x:v>動画テーマとscript.mdから、CTRを狙いつつ誤解を招かないサムネを3案作成。文字2〜6語、ロゴ/端末/記号は最大3要素。HTML/SVGテンプレからPNGを書き出して。</x:v>
      </x:c>
      <x:c r="D12" s="68" t="str">
        <x:v>script.md</x:v>
      </x:c>
      <x:c r="E12" s="68" t="str">
        <x:v>3 PNG</x:v>
      </x:c>
      <x:c r="F12" s="68" t="str">
        <x:v>縮小で読める</x:v>
      </x:c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8" t="n">
        <x:v>10</x:v>
      </x:c>
      <x:c r="B13" s="68" t="str">
        <x:v>投稿セット</x:v>
      </x:c>
      <x:c r="C13" s="68" t="str">
        <x:v>完成動画から、YouTubeタイトル5案、説明欄、チャプター、固定コメント、根拠URL一覧を publish.json にして。タイトルは内容以上に煽らない。</x:v>
      </x:c>
      <x:c r="D13" s="68" t="str">
        <x:v>final.mp4, sources.md</x:v>
      </x:c>
      <x:c r="E13" s="68" t="str">
        <x:v>publish.json</x:v>
      </x:c>
      <x:c r="F13" s="68" t="str">
        <x:v>最終タイトル</x:v>
      </x:c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8" t="n">
        <x:v>11</x:v>
      </x:c>
      <x:c r="B14" s="68" t="str">
        <x:v>7日分析</x:v>
      </x:c>
      <x:c r="C14" s="68" t="str">
        <x:v>最新動画のanalytics CSVを読み、過去4本平均との差をCTR・最初30秒・平均視聴率・流入元・登録転換で比較。一番大きい改善仮説を1個だけ提案して。</x:v>
      </x:c>
      <x:c r="D14" s="68" t="str">
        <x:v>analytics CSV</x:v>
      </x:c>
      <x:c r="E14" s="68" t="str">
        <x:v>review.md</x:v>
      </x:c>
      <x:c r="F14" s="68" t="str">
        <x:v>改善点1個</x:v>
      </x:c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8" t="n">
        <x:v>12</x:v>
      </x:c>
      <x:c r="B15" s="68" t="str">
        <x:v>次の企画</x:v>
      </x:c>
      <x:c r="C15" s="68" t="str">
        <x:v>review.md と競合DBから次候補10本を再採点。前回の改善仮説を検証できる企画を優先し、上位3本を出して。</x:v>
      </x:c>
      <x:c r="D15" s="68" t="str">
        <x:v>review.md, competitors.csv</x:v>
      </x:c>
      <x:c r="E15" s="68" t="str">
        <x:v>next_candidates.csv</x:v>
      </x:c>
      <x:c r="F15" s="68" t="str">
        <x:v>検証可能か</x:v>
      </x:c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9" hidden="0" customWidth="1"/>
    <x:col min="3" max="3" width="29" hidden="0" customWidth="1"/>
    <x:col min="4" max="4" width="27" hidden="0" customWidth="1"/>
    <x:col min="5" max="5" width="25" hidden="0" customWidth="1"/>
    <x:col min="6" max="6" width="38" hidden="0" customWidth="1"/>
    <x:col min="7" max="7" width="19" hidden="0" customWidth="1"/>
    <x:col min="8" max="8" width="14" hidden="0" customWidth="1"/>
  </x:cols>
  <x:sheetData>
    <x:row r="1">
      <x:c r="A1" s="64" t="str">
        <x:v>自動化スクリプト設計｜Codexに順番に作らせる</x:v>
      </x:c>
      <x:c r="B1" s="64"/>
      <x:c r="C1" s="64"/>
      <x:c r="D1" s="64"/>
      <x:c r="E1" s="64"/>
      <x:c r="F1" s="64"/>
      <x:c r="G1" s="64"/>
      <x:c r="H1" s="64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優先</x:v>
      </x:c>
      <x:c r="B3" s="67" t="str">
        <x:v>ファイル例</x:v>
      </x:c>
      <x:c r="C3" s="67" t="str">
        <x:v>役割</x:v>
      </x:c>
      <x:c r="D3" s="67" t="str">
        <x:v>入力</x:v>
      </x:c>
      <x:c r="E3" s="67" t="str">
        <x:v>出力</x:v>
      </x:c>
      <x:c r="F3" s="67" t="str">
        <x:v>最初の作り方</x:v>
      </x:c>
      <x:c r="G3" s="67" t="str">
        <x:v>実行タイミング</x:v>
      </x:c>
      <x:c r="H3" s="67" t="str">
        <x:v>後回し可？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n">
        <x:v>1</x:v>
      </x:c>
      <x:c r="B4" s="68" t="str">
        <x:v>scripts/new_episode.py</x:v>
      </x:c>
      <x:c r="C4" s="68" t="str">
        <x:v>動画フォルダ作成</x:v>
      </x:c>
      <x:c r="D4" s="68" t="str">
        <x:v>番号/slug/タイトル</x:v>
      </x:c>
      <x:c r="E4" s="68" t="str">
        <x:v>episode雛形</x:v>
      </x:c>
      <x:c r="F4" s="68" t="str">
        <x:v>Codexにまず作らせる</x:v>
      </x:c>
      <x:c r="G4" s="68" t="str">
        <x:v>企画決定時</x:v>
      </x:c>
      <x:c r="H4" s="68" t="str">
        <x:v>いいえ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n">
        <x:v>2</x:v>
      </x:c>
      <x:c r="B5" s="68" t="str">
        <x:v>scripts/check_sources.py</x:v>
      </x:c>
      <x:c r="C5" s="68" t="str">
        <x:v>sources形式/URL抜けチェック</x:v>
      </x:c>
      <x:c r="D5" s="68" t="str">
        <x:v>sources.md</x:v>
      </x:c>
      <x:c r="E5" s="68" t="str">
        <x:v>チェック結果</x:v>
      </x:c>
      <x:c r="F5" s="68" t="str">
        <x:v>確認日とURLをlint</x:v>
      </x:c>
      <x:c r="G5" s="68" t="str">
        <x:v>台本前</x:v>
      </x:c>
      <x:c r="H5" s="68" t="str">
        <x:v>いいえ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n">
        <x:v>3</x:v>
      </x:c>
      <x:c r="B6" s="68" t="str">
        <x:v>scripts/tts.py</x:v>
      </x:c>
      <x:c r="C6" s="68" t="str">
        <x:v>台本→章別TTS</x:v>
      </x:c>
      <x:c r="D6" s="68" t="str">
        <x:v>script.md</x:v>
      </x:c>
      <x:c r="E6" s="68" t="str">
        <x:v>audio/*.wav</x:v>
      </x:c>
      <x:c r="F6" s="68" t="str">
        <x:v>TTSを1つに固定</x:v>
      </x:c>
      <x:c r="G6" s="68" t="str">
        <x:v>台本承認後</x:v>
      </x:c>
      <x:c r="H6" s="68" t="str">
        <x:v>いいえ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n">
        <x:v>4</x:v>
      </x:c>
      <x:c r="B7" s="68" t="str">
        <x:v>scripts/make_captions.py</x:v>
      </x:c>
      <x:c r="C7" s="68" t="str">
        <x:v>字幕SRT生成</x:v>
      </x:c>
      <x:c r="D7" s="68" t="str">
        <x:v>script.md/音声</x:v>
      </x:c>
      <x:c r="E7" s="68" t="str">
        <x:v>captions.srt</x:v>
      </x:c>
      <x:c r="F7" s="68" t="str">
        <x:v>まず台本同期型</x:v>
      </x:c>
      <x:c r="G7" s="68" t="str">
        <x:v>音声後</x:v>
      </x:c>
      <x:c r="H7" s="68" t="str">
        <x:v>いいえ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n">
        <x:v>5</x:v>
      </x:c>
      <x:c r="B8" s="68" t="str">
        <x:v>scripts/build_video.py</x:v>
      </x:c>
      <x:c r="C8" s="68" t="str">
        <x:v>FFmpeg編集</x:v>
      </x:c>
      <x:c r="D8" s="68" t="str">
        <x:v>raw/audio/captions</x:v>
      </x:c>
      <x:c r="E8" s="68" t="str">
        <x:v>draft.mp4</x:v>
      </x:c>
      <x:c r="F8" s="68" t="str">
        <x:v>単純テンプレから</x:v>
      </x:c>
      <x:c r="G8" s="68" t="str">
        <x:v>素材完成後</x:v>
      </x:c>
      <x:c r="H8" s="68" t="str">
        <x:v>いいえ</x:v>
      </x:c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n">
        <x:v>6</x:v>
      </x:c>
      <x:c r="B9" s="68" t="str">
        <x:v>scripts/make_thumbnail.py</x:v>
      </x:c>
      <x:c r="C9" s="68" t="str">
        <x:v>サムネHTML→PNG</x:v>
      </x:c>
      <x:c r="D9" s="68" t="str">
        <x:v>title/short text/template</x:v>
      </x:c>
      <x:c r="E9" s="68" t="str">
        <x:v>3 PNG</x:v>
      </x:c>
      <x:c r="F9" s="68" t="str">
        <x:v>Playwright等</x:v>
      </x:c>
      <x:c r="G9" s="68" t="str">
        <x:v>動画完成後</x:v>
      </x:c>
      <x:c r="H9" s="68" t="str">
        <x:v>いいえ</x:v>
      </x:c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n">
        <x:v>7</x:v>
      </x:c>
      <x:c r="B10" s="68" t="str">
        <x:v>scripts/qc_episode.py</x:v>
      </x:c>
      <x:c r="C10" s="68" t="str">
        <x:v>機械QC</x:v>
      </x:c>
      <x:c r="D10" s="68" t="str">
        <x:v>episode一式</x:v>
      </x:c>
      <x:c r="E10" s="68" t="str">
        <x:v>qc_auto.md</x:v>
      </x:c>
      <x:c r="F10" s="68" t="str">
        <x:v>不足/禁止語/URL/尺検査</x:v>
      </x:c>
      <x:c r="G10" s="68" t="str">
        <x:v>公開前</x:v>
      </x:c>
      <x:c r="H10" s="68" t="str">
        <x:v>いいえ</x:v>
      </x:c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8" t="n">
        <x:v>8</x:v>
      </x:c>
      <x:c r="B11" s="68" t="str">
        <x:v>scripts/youtube_metadata.py</x:v>
      </x:c>
      <x:c r="C11" s="68" t="str">
        <x:v>投稿情報JSON化</x:v>
      </x:c>
      <x:c r="D11" s="68" t="str">
        <x:v>episode一式</x:v>
      </x:c>
      <x:c r="E11" s="68" t="str">
        <x:v>publish.json</x:v>
      </x:c>
      <x:c r="F11" s="68" t="str">
        <x:v>API投稿はまだしない</x:v>
      </x:c>
      <x:c r="G11" s="68" t="str">
        <x:v>公開前</x:v>
      </x:c>
      <x:c r="H11" s="68" t="str">
        <x:v>いいえ</x:v>
      </x:c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8" t="n">
        <x:v>9</x:v>
      </x:c>
      <x:c r="B12" s="68" t="str">
        <x:v>scripts/fetch_competitors.py</x:v>
      </x:c>
      <x:c r="C12" s="68" t="str">
        <x:v>競合メタデータ取得</x:v>
      </x:c>
      <x:c r="D12" s="68" t="str">
        <x:v>channel IDs</x:v>
      </x:c>
      <x:c r="E12" s="68" t="str">
        <x:v>competitors.csv</x:v>
      </x:c>
      <x:c r="F12" s="68" t="str">
        <x:v>YouTube Data API</x:v>
      </x:c>
      <x:c r="G12" s="68" t="str">
        <x:v>週1</x:v>
      </x:c>
      <x:c r="H12" s="68" t="str">
        <x:v>はい</x:v>
      </x:c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8" t="n">
        <x:v>10</x:v>
      </x:c>
      <x:c r="B13" s="68" t="str">
        <x:v>scripts/fetch_analytics.py</x:v>
      </x:c>
      <x:c r="C13" s="68" t="str">
        <x:v>自動画指標取得</x:v>
      </x:c>
      <x:c r="D13" s="68" t="str">
        <x:v>OAuth</x:v>
      </x:c>
      <x:c r="E13" s="68" t="str">
        <x:v>analytics.csv</x:v>
      </x:c>
      <x:c r="F13" s="68" t="str">
        <x:v>Analytics API</x:v>
      </x:c>
      <x:c r="G13" s="68" t="str">
        <x:v>公開後</x:v>
      </x:c>
      <x:c r="H13" s="68" t="str">
        <x:v>はい</x:v>
      </x:c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8" t="n">
        <x:v>11</x:v>
      </x:c>
      <x:c r="B14" s="68" t="str">
        <x:v>scripts/score_topics.py</x:v>
      </x:c>
      <x:c r="C14" s="68" t="str">
        <x:v>候補採点</x:v>
      </x:c>
      <x:c r="D14" s="68" t="str">
        <x:v>競合/analytics/trends</x:v>
      </x:c>
      <x:c r="E14" s="68" t="str">
        <x:v>ranked_topics.csv</x:v>
      </x:c>
      <x:c r="F14" s="68" t="str">
        <x:v>ルールを設定化</x:v>
      </x:c>
      <x:c r="G14" s="68" t="str">
        <x:v>週1</x:v>
      </x:c>
      <x:c r="H14" s="68" t="str">
        <x:v>はい</x:v>
      </x:c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8" t="n">
        <x:v>12</x:v>
      </x:c>
      <x:c r="B15" s="68" t="str">
        <x:v>scripts/upload_youtube.py</x:v>
      </x:c>
      <x:c r="C15" s="68" t="str">
        <x:v>YouTube投稿</x:v>
      </x:c>
      <x:c r="D15" s="68" t="str">
        <x:v>publish.json/final.mp4</x:v>
      </x:c>
      <x:c r="E15" s="68" t="str">
        <x:v>video ID</x:v>
      </x:c>
      <x:c r="F15" s="68" t="str">
        <x:v>最後に導入</x:v>
      </x:c>
      <x:c r="G15" s="68" t="str">
        <x:v>公開時</x:v>
      </x:c>
      <x:c r="H15" s="68" t="str">
        <x:v>強く推奨</x:v>
      </x:c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H1"/>
  </x:mergeCells>
  <x:conditionalFormatting sqref="H4:H15">
    <x:cfRule type="expression" dxfId="5" priority="1">
      <x:formula>$H4="いいえ"</x:formula>
    </x:cfRule>
    <x:cfRule type="expression" dxfId="6" priority="2">
      <x:formula>$H4="はい"</x:formula>
    </x:cfRule>
    <x:cfRule type="expression" dxfId="7" priority="3">
      <x:formula>$H4="強く推奨"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6" hidden="0" customWidth="1"/>
    <x:col min="3" max="3" width="54" hidden="0" customWidth="1"/>
    <x:col min="4" max="4" width="27" hidden="0" customWidth="1"/>
    <x:col min="5" max="5" width="10" hidden="0" customWidth="1"/>
    <x:col min="6" max="6" width="17" hidden="0" customWidth="1"/>
    <x:col min="7" max="7" width="14" hidden="0" customWidth="1"/>
    <x:col min="8" max="8" width="13" hidden="0" customWidth="1"/>
    <x:col min="9" max="9" width="12" hidden="0" customWidth="1"/>
    <x:col min="10" max="10" width="12" hidden="0" customWidth="1"/>
    <x:col min="11" max="11" width="14" hidden="0" customWidth="1"/>
  </x:cols>
  <x:sheetData>
    <x:row r="1">
      <x:c r="A1" s="64" t="str">
        <x:v>最初の12本｜実制作バックログ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No</x:v>
      </x:c>
      <x:c r="B3" s="67" t="str">
        <x:v>テーマ</x:v>
      </x:c>
      <x:c r="C3" s="67" t="str">
        <x:v>タイトル案</x:v>
      </x:c>
      <x:c r="D3" s="67" t="str">
        <x:v>主な一次情報</x:v>
      </x:c>
      <x:c r="E3" s="67" t="str">
        <x:v>目標尺</x:v>
      </x:c>
      <x:c r="F3" s="67" t="str">
        <x:v>実機</x:v>
      </x:c>
      <x:c r="G3" s="67" t="str">
        <x:v>Codex難易度</x:v>
      </x:c>
      <x:c r="H3" s="67" t="str">
        <x:v>状態</x:v>
      </x:c>
      <x:c r="I3" s="67" t="str">
        <x:v>Research</x:v>
      </x:c>
      <x:c r="J3" s="67" t="str">
        <x:v>Script</x:v>
      </x:c>
      <x:c r="K3" s="67" t="str">
        <x:v>公開日</x:v>
      </x:c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n">
        <x:v>1</x:v>
      </x:c>
      <x:c r="B4" s="68" t="str">
        <x:v>Google安全</x:v>
      </x:c>
      <x:c r="C4" s="68" t="str">
        <x:v>Googleアカウント、乗っ取られる前に見るべき5項目</x:v>
      </x:c>
      <x:c r="D4" s="68" t="str">
        <x:v>Google公式</x:v>
      </x:c>
      <x:c r="E4" s="68" t="n">
        <x:v>10</x:v>
      </x:c>
      <x:c r="F4" s="68" t="str">
        <x:v>iPhone+Android</x:v>
      </x:c>
      <x:c r="G4" s="68" t="str">
        <x:v>中</x:v>
      </x:c>
      <x:c r="H4" s="68" t="str">
        <x:v>未着手</x:v>
      </x:c>
      <x:c r="I4" s="82" t="n">
        <x:v>0</x:v>
      </x:c>
      <x:c r="J4" s="82" t="n">
        <x:v>0</x:v>
      </x:c>
      <x:c r="K4" s="68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n">
        <x:v>2</x:v>
      </x:c>
      <x:c r="B5" s="68" t="str">
        <x:v>LINE噂検証</x:v>
      </x:c>
      <x:c r="C5" s="68" t="str">
        <x:v>LINEの『青い日付で高額請求』は本当？公式情報と実機で検証</x:v>
      </x:c>
      <x:c r="D5" s="68" t="str">
        <x:v>LINE公式/通信会社</x:v>
      </x:c>
      <x:c r="E5" s="68" t="n">
        <x:v>9</x:v>
      </x:c>
      <x:c r="F5" s="68" t="str">
        <x:v>iPhone+Android</x:v>
      </x:c>
      <x:c r="G5" s="68" t="str">
        <x:v>中</x:v>
      </x:c>
      <x:c r="H5" s="68" t="str">
        <x:v>未着手</x:v>
      </x:c>
      <x:c r="I5" s="82" t="n">
        <x:v>0</x:v>
      </x:c>
      <x:c r="J5" s="82" t="n">
        <x:v>0</x:v>
      </x:c>
      <x:c r="K5" s="68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n">
        <x:v>3</x:v>
      </x:c>
      <x:c r="B6" s="68" t="str">
        <x:v>容量整理</x:v>
      </x:c>
      <x:c r="C6" s="68" t="str">
        <x:v>写真を消す前に。LINE・Chrome/Safariの安全な容量整理</x:v>
      </x:c>
      <x:c r="D6" s="68" t="str">
        <x:v>Apple/Google/LINE</x:v>
      </x:c>
      <x:c r="E6" s="68" t="n">
        <x:v>11</x:v>
      </x:c>
      <x:c r="F6" s="68" t="str">
        <x:v>iPhone+Android</x:v>
      </x:c>
      <x:c r="G6" s="68" t="str">
        <x:v>中</x:v>
      </x:c>
      <x:c r="H6" s="68" t="str">
        <x:v>未着手</x:v>
      </x:c>
      <x:c r="I6" s="82" t="n">
        <x:v>0</x:v>
      </x:c>
      <x:c r="J6" s="82" t="n">
        <x:v>0</x:v>
      </x:c>
      <x:c r="K6" s="68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n">
        <x:v>4</x:v>
      </x:c>
      <x:c r="B7" s="68" t="str">
        <x:v>詐欺電話</x:v>
      </x:c>
      <x:c r="C7" s="68" t="str">
        <x:v>国際電話・知らない番号・ニセ警察を家族で対策</x:v>
      </x:c>
      <x:c r="D7" s="68" t="str">
        <x:v>警察庁/OS/通信会社</x:v>
      </x:c>
      <x:c r="E7" s="68" t="n">
        <x:v>12</x:v>
      </x:c>
      <x:c r="F7" s="68" t="str">
        <x:v>iPhone+Android</x:v>
      </x:c>
      <x:c r="G7" s="68" t="str">
        <x:v>中</x:v>
      </x:c>
      <x:c r="H7" s="68" t="str">
        <x:v>未着手</x:v>
      </x:c>
      <x:c r="I7" s="82" t="n">
        <x:v>0</x:v>
      </x:c>
      <x:c r="J7" s="82" t="n">
        <x:v>0</x:v>
      </x:c>
      <x:c r="K7" s="68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n">
        <x:v>5</x:v>
      </x:c>
      <x:c r="B8" s="68" t="str">
        <x:v>行政アプリ</x:v>
      </x:c>
      <x:c r="C8" s="68" t="str">
        <x:v>マイナアプリ、何が変わった？何をすればいい？</x:v>
      </x:c>
      <x:c r="D8" s="68" t="str">
        <x:v>デジタル庁</x:v>
      </x:c>
      <x:c r="E8" s="68" t="n">
        <x:v>9</x:v>
      </x:c>
      <x:c r="F8" s="68" t="str">
        <x:v>実機</x:v>
      </x:c>
      <x:c r="G8" s="68" t="str">
        <x:v>低</x:v>
      </x:c>
      <x:c r="H8" s="68" t="str">
        <x:v>未着手</x:v>
      </x:c>
      <x:c r="I8" s="82" t="n">
        <x:v>0</x:v>
      </x:c>
      <x:c r="J8" s="82" t="n">
        <x:v>0</x:v>
      </x:c>
      <x:c r="K8" s="68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n">
        <x:v>6</x:v>
      </x:c>
      <x:c r="B9" s="68" t="str">
        <x:v>位置情報</x:v>
      </x:c>
      <x:c r="C9" s="68" t="str">
        <x:v>Googleマップで自宅や行動履歴はどこまで見える？</x:v>
      </x:c>
      <x:c r="D9" s="68" t="str">
        <x:v>Google公式</x:v>
      </x:c>
      <x:c r="E9" s="68" t="n">
        <x:v>10</x:v>
      </x:c>
      <x:c r="F9" s="68" t="str">
        <x:v>iPhone+Android</x:v>
      </x:c>
      <x:c r="G9" s="68" t="str">
        <x:v>中</x:v>
      </x:c>
      <x:c r="H9" s="68" t="str">
        <x:v>未着手</x:v>
      </x:c>
      <x:c r="I9" s="82" t="n">
        <x:v>0</x:v>
      </x:c>
      <x:c r="J9" s="82" t="n">
        <x:v>0</x:v>
      </x:c>
      <x:c r="K9" s="68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n">
        <x:v>7</x:v>
      </x:c>
      <x:c r="B10" s="68" t="str">
        <x:v>AI安全</x:v>
      </x:c>
      <x:c r="C10" s="68" t="str">
        <x:v>ChatGPT・Geminiに入れてはいけない情報5つ</x:v>
      </x:c>
      <x:c r="D10" s="68" t="str">
        <x:v>OpenAI/Google公式</x:v>
      </x:c>
      <x:c r="E10" s="68" t="n">
        <x:v>11</x:v>
      </x:c>
      <x:c r="F10" s="68" t="str">
        <x:v>スマホ</x:v>
      </x:c>
      <x:c r="G10" s="68" t="str">
        <x:v>中</x:v>
      </x:c>
      <x:c r="H10" s="68" t="str">
        <x:v>未着手</x:v>
      </x:c>
      <x:c r="I10" s="82" t="n">
        <x:v>0</x:v>
      </x:c>
      <x:c r="J10" s="82" t="n">
        <x:v>0</x:v>
      </x:c>
      <x:c r="K10" s="68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8" t="n">
        <x:v>8</x:v>
      </x:c>
      <x:c r="B11" s="68" t="str">
        <x:v>写真保護</x:v>
      </x:c>
      <x:c r="C11" s="68" t="str">
        <x:v>iCloudとGoogleフォト『同期とバックアップ』の違い</x:v>
      </x:c>
      <x:c r="D11" s="68" t="str">
        <x:v>Apple/Google</x:v>
      </x:c>
      <x:c r="E11" s="68" t="n">
        <x:v>12</x:v>
      </x:c>
      <x:c r="F11" s="68" t="str">
        <x:v>2台推奨</x:v>
      </x:c>
      <x:c r="G11" s="68" t="str">
        <x:v>高</x:v>
      </x:c>
      <x:c r="H11" s="68" t="str">
        <x:v>未着手</x:v>
      </x:c>
      <x:c r="I11" s="82" t="n">
        <x:v>0</x:v>
      </x:c>
      <x:c r="J11" s="82" t="n">
        <x:v>0</x:v>
      </x:c>
      <x:c r="K11" s="68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8" t="n">
        <x:v>9</x:v>
      </x:c>
      <x:c r="B12" s="68" t="str">
        <x:v>機種変更</x:v>
      </x:c>
      <x:c r="C12" s="68" t="str">
        <x:v>機種変更の前日にやること7つ</x:v>
      </x:c>
      <x:c r="D12" s="68" t="str">
        <x:v>Apple/Google/LINE</x:v>
      </x:c>
      <x:c r="E12" s="68" t="n">
        <x:v>13</x:v>
      </x:c>
      <x:c r="F12" s="68" t="str">
        <x:v>iPhone+Android</x:v>
      </x:c>
      <x:c r="G12" s="68" t="str">
        <x:v>中</x:v>
      </x:c>
      <x:c r="H12" s="68" t="str">
        <x:v>未着手</x:v>
      </x:c>
      <x:c r="I12" s="82" t="n">
        <x:v>0</x:v>
      </x:c>
      <x:c r="J12" s="82" t="n">
        <x:v>0</x:v>
      </x:c>
      <x:c r="K12" s="68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8" t="n">
        <x:v>10</x:v>
      </x:c>
      <x:c r="B13" s="68" t="str">
        <x:v>紛失</x:v>
      </x:c>
      <x:c r="C13" s="68" t="str">
        <x:v>スマホをなくしたら最初の10分でやること</x:v>
      </x:c>
      <x:c r="D13" s="68" t="str">
        <x:v>Apple/Google/各サービス</x:v>
      </x:c>
      <x:c r="E13" s="68" t="n">
        <x:v>10</x:v>
      </x:c>
      <x:c r="F13" s="68" t="str">
        <x:v>実機</x:v>
      </x:c>
      <x:c r="G13" s="68" t="str">
        <x:v>高</x:v>
      </x:c>
      <x:c r="H13" s="68" t="str">
        <x:v>未着手</x:v>
      </x:c>
      <x:c r="I13" s="82" t="n">
        <x:v>0</x:v>
      </x:c>
      <x:c r="J13" s="82" t="n">
        <x:v>0</x:v>
      </x:c>
      <x:c r="K13" s="68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8" t="n">
        <x:v>11</x:v>
      </x:c>
      <x:c r="B14" s="68" t="str">
        <x:v>AI入門</x:v>
      </x:c>
      <x:c r="C14" s="68" t="str">
        <x:v>50代からのChatGPT超入門｜便利な3つ＋注意1つ</x:v>
      </x:c>
      <x:c r="D14" s="68" t="str">
        <x:v>OpenAI公式</x:v>
      </x:c>
      <x:c r="E14" s="68" t="n">
        <x:v>10</x:v>
      </x:c>
      <x:c r="F14" s="68" t="str">
        <x:v>スマホ</x:v>
      </x:c>
      <x:c r="G14" s="68" t="str">
        <x:v>低</x:v>
      </x:c>
      <x:c r="H14" s="68" t="str">
        <x:v>未着手</x:v>
      </x:c>
      <x:c r="I14" s="82" t="n">
        <x:v>0</x:v>
      </x:c>
      <x:c r="J14" s="82" t="n">
        <x:v>0</x:v>
      </x:c>
      <x:c r="K14" s="68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8" t="n">
        <x:v>12</x:v>
      </x:c>
      <x:c r="B15" s="68" t="str">
        <x:v>保存版</x:v>
      </x:c>
      <x:c r="C15" s="68" t="str">
        <x:v>スマホ安心点検15分｜最低限これだけ</x:v>
      </x:c>
      <x:c r="D15" s="68" t="str">
        <x:v>複数公式</x:v>
      </x:c>
      <x:c r="E15" s="68" t="n">
        <x:v>15</x:v>
      </x:c>
      <x:c r="F15" s="68" t="str">
        <x:v>iPhone+Android</x:v>
      </x:c>
      <x:c r="G15" s="68" t="str">
        <x:v>高</x:v>
      </x:c>
      <x:c r="H15" s="68" t="str">
        <x:v>未着手</x:v>
      </x:c>
      <x:c r="I15" s="82" t="n">
        <x:v>0</x:v>
      </x:c>
      <x:c r="J15" s="82" t="n">
        <x:v>0</x:v>
      </x:c>
      <x:c r="K15" s="68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K1"/>
  </x:mergeCells>
  <x:conditionalFormatting sqref="I4:J15">
    <x:cfRule type="dataBar" priority="1">
      <x:dataBar>
        <x:cfvo type="min"/>
        <x:cfvo type="max"/>
        <x:color rgb="FF2B6CB0"/>
      </x:dataBar>
      <x:extLst>
        <x:ext xmlns:x14="http://schemas.microsoft.com/office/spreadsheetml/2009/9/main" uri="{B025F937-C7B1-47D3-B67F-A62EFF666E3E}">
          <x14:id>{534E24B0-6738-ECDA-8A0D-32B3CE1C1EB5}</x14:id>
        </x:ext>
      </x:extLst>
    </x:cfRule>
  </x:conditionalFormatting>
  <x:dataValidations count="1">
    <x:dataValidation type="list" sqref="H4:H15">
      <x:formula1>"未着手,調査中,台本中,撮影中,編集中,QC中,公開済"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34E24B0-6738-ECDA-8A0D-32B3CE1C1EB5}">
            <x14:dataBar gradient="1">
              <x14:cfvo type="min"/>
              <x14:cfvo type="max"/>
              <x14:fillColor rgb="FF2B6CB0"/>
            </x14:dataBar>
          </x14:cfRule>
          <xm:sqref>I4:J15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5" hidden="0" customWidth="1"/>
    <x:col min="3" max="3" width="12" hidden="0" customWidth="1"/>
    <x:col min="4" max="4" width="12" hidden="0" customWidth="1"/>
    <x:col min="5" max="5" width="12" hidden="0" customWidth="1"/>
    <x:col min="6" max="6" width="31" hidden="0" customWidth="1"/>
    <x:col min="7" max="7" width="34" hidden="0" customWidth="1"/>
  </x:cols>
  <x:sheetData>
    <x:row r="1">
      <x:c r="A1" s="64" t="str">
        <x:v>公開前QC｜ここを全部通ったら公開</x:v>
      </x:c>
      <x:c r="B1" s="64"/>
      <x:c r="C1" s="64"/>
      <x:c r="D1" s="64"/>
      <x:c r="E1" s="64"/>
      <x:c r="F1" s="64"/>
      <x:c r="G1" s="64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区分</x:v>
      </x:c>
      <x:c r="B3" s="67" t="str">
        <x:v>チェック</x:v>
      </x:c>
      <x:c r="C3" s="67" t="str">
        <x:v>Codex自動</x:v>
      </x:c>
      <x:c r="D3" s="67" t="str">
        <x:v>人間</x:v>
      </x:c>
      <x:c r="E3" s="67" t="str">
        <x:v>重要度</x:v>
      </x:c>
      <x:c r="F3" s="67" t="str">
        <x:v>OK条件</x:v>
      </x:c>
      <x:c r="G3" s="67" t="str">
        <x:v>備考</x:v>
      </x:c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str">
        <x:v>Fact</x:v>
      </x:c>
      <x:c r="B4" s="68" t="str">
        <x:v>主要な断定がsources.mdの一次情報にある</x:v>
      </x:c>
      <x:c r="C4" s="68" t="str">
        <x:v>○</x:v>
      </x:c>
      <x:c r="D4" s="68" t="str">
        <x:v>○</x:v>
      </x:c>
      <x:c r="E4" s="68" t="str">
        <x:v>重大</x:v>
      </x:c>
      <x:c r="F4" s="68" t="str">
        <x:v>根拠URLあり</x:v>
      </x:c>
      <x:c r="G4" s="68" t="str">
        <x:v>確認日も残す</x:v>
      </x:c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str">
        <x:v>Fact</x:v>
      </x:c>
      <x:c r="B5" s="68" t="str">
        <x:v>OS/アプリのバージョン差が必要なら説明</x:v>
      </x:c>
      <x:c r="C5" s="68" t="str">
        <x:v>△</x:v>
      </x:c>
      <x:c r="D5" s="68" t="str">
        <x:v>○</x:v>
      </x:c>
      <x:c r="E5" s="68" t="str">
        <x:v>重大</x:v>
      </x:c>
      <x:c r="F5" s="68" t="str">
        <x:v>手順が現行</x:v>
      </x:c>
      <x:c r="G5" s="68" t="str">
        <x:v>撮影端末を明記</x:v>
      </x:c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str">
        <x:v>Fact</x:v>
      </x:c>
      <x:c r="B6" s="68" t="str">
        <x:v>詐欺/料金/個人情報の表現が過剰でない</x:v>
      </x:c>
      <x:c r="C6" s="68" t="str">
        <x:v>△</x:v>
      </x:c>
      <x:c r="D6" s="68" t="str">
        <x:v>○</x:v>
      </x:c>
      <x:c r="E6" s="68" t="str">
        <x:v>重大</x:v>
      </x:c>
      <x:c r="F6" s="68" t="str">
        <x:v>条件付きで正確</x:v>
      </x:c>
      <x:c r="G6" s="68" t="str">
        <x:v>不安を煽りすぎない</x:v>
      </x:c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str">
        <x:v>Visual</x:v>
      </x:c>
      <x:c r="B7" s="68" t="str">
        <x:v>画面操作とナレーションが一致</x:v>
      </x:c>
      <x:c r="C7" s="68" t="str">
        <x:v>△</x:v>
      </x:c>
      <x:c r="D7" s="68" t="str">
        <x:v>○</x:v>
      </x:c>
      <x:c r="E7" s="68" t="str">
        <x:v>重大</x:v>
      </x:c>
      <x:c r="F7" s="68" t="str">
        <x:v>誤タップなし</x:v>
      </x:c>
      <x:c r="G7" s="68" t="str">
        <x:v>個人情報モザイク</x:v>
      </x:c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str">
        <x:v>Visual</x:v>
      </x:c>
      <x:c r="B8" s="68" t="str">
        <x:v>文字がスマホ画面でも読める</x:v>
      </x:c>
      <x:c r="C8" s="68" t="str">
        <x:v>△</x:v>
      </x:c>
      <x:c r="D8" s="68" t="str">
        <x:v>○</x:v>
      </x:c>
      <x:c r="E8" s="68" t="str">
        <x:v>中</x:v>
      </x:c>
      <x:c r="F8" s="68" t="str">
        <x:v>字幕/注釈が大きい</x:v>
      </x:c>
      <x:c r="G8" s="68" t="str">
        <x:v>1画面の情報を減らす</x:v>
      </x:c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str">
        <x:v>Audio</x:v>
      </x:c>
      <x:c r="B9" s="68" t="str">
        <x:v>固有名詞・数字の読み間違いなし</x:v>
      </x:c>
      <x:c r="C9" s="68" t="str">
        <x:v>○</x:v>
      </x:c>
      <x:c r="D9" s="68" t="str">
        <x:v>○</x:v>
      </x:c>
      <x:c r="E9" s="68" t="str">
        <x:v>中</x:v>
      </x:c>
      <x:c r="F9" s="68" t="str">
        <x:v>聞いて違和感なし</x:v>
      </x:c>
      <x:c r="G9" s="68" t="str">
        <x:v>TTS辞書へ反映</x:v>
      </x:c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str">
        <x:v>Audio</x:v>
      </x:c>
      <x:c r="B10" s="68" t="str">
        <x:v>BGM/効果音が説明を邪魔しない</x:v>
      </x:c>
      <x:c r="C10" s="68" t="str">
        <x:v>△</x:v>
      </x:c>
      <x:c r="D10" s="68" t="str">
        <x:v>○</x:v>
      </x:c>
      <x:c r="E10" s="68" t="str">
        <x:v>軽微</x:v>
      </x:c>
      <x:c r="F10" s="68" t="str">
        <x:v>声が明瞭</x:v>
      </x:c>
      <x:c r="G10" s="68" t="str">
        <x:v>BGMなしでも可</x:v>
      </x:c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8" t="str">
        <x:v>Language</x:v>
      </x:c>
      <x:c r="B11" s="68" t="str">
        <x:v>専門語が説明なしに出ていない</x:v>
      </x:c>
      <x:c r="C11" s="68" t="str">
        <x:v>○</x:v>
      </x:c>
      <x:c r="D11" s="68" t="str">
        <x:v>○</x:v>
      </x:c>
      <x:c r="E11" s="68" t="str">
        <x:v>中</x:v>
      </x:c>
      <x:c r="F11" s="68" t="str">
        <x:v>中学生でも理解</x:v>
      </x:c>
      <x:c r="G11" s="68" t="str">
        <x:v>略語は言い換える</x:v>
      </x:c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8" t="str">
        <x:v>Language</x:v>
      </x:c>
      <x:c r="B12" s="68" t="str">
        <x:v>冒頭20秒で結論が分かる</x:v>
      </x:c>
      <x:c r="C12" s="68" t="str">
        <x:v>○</x:v>
      </x:c>
      <x:c r="D12" s="68" t="str">
        <x:v>○</x:v>
      </x:c>
      <x:c r="E12" s="68" t="str">
        <x:v>中</x:v>
      </x:c>
      <x:c r="F12" s="68" t="str">
        <x:v>視聴理由が明確</x:v>
      </x:c>
      <x:c r="G12" s="68" t="str">
        <x:v>前置きを削る</x:v>
      </x:c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8" t="str">
        <x:v>Policy</x:v>
      </x:c>
      <x:c r="B13" s="68" t="str">
        <x:v>他者動画/記事の転載中心ではない</x:v>
      </x:c>
      <x:c r="C13" s="68" t="str">
        <x:v>○</x:v>
      </x:c>
      <x:c r="D13" s="68" t="str">
        <x:v>○</x:v>
      </x:c>
      <x:c r="E13" s="68" t="str">
        <x:v>重大</x:v>
      </x:c>
      <x:c r="F13" s="68" t="str">
        <x:v>自分の解説・実機が中心</x:v>
      </x:c>
      <x:c r="G13" s="68" t="str">
        <x:v>大量テンプレ化を避ける</x:v>
      </x:c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8" t="str">
        <x:v>Policy</x:v>
      </x:c>
      <x:c r="B14" s="68" t="str">
        <x:v>AI生成の架空設定画面を使っていない</x:v>
      </x:c>
      <x:c r="C14" s="68" t="str">
        <x:v>○</x:v>
      </x:c>
      <x:c r="D14" s="68" t="str">
        <x:v>○</x:v>
      </x:c>
      <x:c r="E14" s="68" t="str">
        <x:v>重大</x:v>
      </x:c>
      <x:c r="F14" s="68" t="str">
        <x:v>実機/公式/明確な図解</x:v>
      </x:c>
      <x:c r="G14" s="68" t="str">
        <x:v>図解は図解と分かる</x:v>
      </x:c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8" t="str">
        <x:v>Privacy</x:v>
      </x:c>
      <x:c r="B15" s="68" t="str">
        <x:v>個人メール/電話/住所/通知が映っていない</x:v>
      </x:c>
      <x:c r="C15" s="68" t="str">
        <x:v>△</x:v>
      </x:c>
      <x:c r="D15" s="68" t="str">
        <x:v>○</x:v>
      </x:c>
      <x:c r="E15" s="68" t="str">
        <x:v>重大</x:v>
      </x:c>
      <x:c r="F15" s="68" t="str">
        <x:v>個人情報ゼロ</x:v>
      </x:c>
      <x:c r="G15" s="68" t="str">
        <x:v>テストアカウント推奨</x:v>
      </x:c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8" t="str">
        <x:v>Publish</x:v>
      </x:c>
      <x:c r="B16" s="68" t="str">
        <x:v>タイトル/サムネが内容以上に断定していない</x:v>
      </x:c>
      <x:c r="C16" s="68" t="str">
        <x:v>○</x:v>
      </x:c>
      <x:c r="D16" s="68" t="str">
        <x:v>○</x:v>
      </x:c>
      <x:c r="E16" s="68" t="str">
        <x:v>重大</x:v>
      </x:c>
      <x:c r="F16" s="68" t="str">
        <x:v>内容と一致</x:v>
      </x:c>
      <x:c r="G16" s="68" t="str">
        <x:v>CTRだけ追わない</x:v>
      </x:c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8" t="str">
        <x:v>Publish</x:v>
      </x:c>
      <x:c r="B17" s="68" t="str">
        <x:v>説明欄に主要な根拠URLがある</x:v>
      </x:c>
      <x:c r="C17" s="68" t="str">
        <x:v>○</x:v>
      </x:c>
      <x:c r="D17" s="68" t="str">
        <x:v>○</x:v>
      </x:c>
      <x:c r="E17" s="68" t="str">
        <x:v>中</x:v>
      </x:c>
      <x:c r="F17" s="68" t="str">
        <x:v>2〜5件程度</x:v>
      </x:c>
      <x:c r="G17" s="68" t="str">
        <x:v>視聴者が確認可能</x:v>
      </x:c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G1"/>
  </x:mergeCells>
  <x:conditionalFormatting sqref="E4:E17">
    <x:cfRule type="expression" dxfId="8" priority="1">
      <x:formula>$E4="重大"</x:formula>
    </x:cfRule>
    <x:cfRule type="expression" dxfId="9" priority="2">
      <x:formula>$E4="中"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7" hidden="0" customWidth="1"/>
    <x:col min="4" max="4" width="24" hidden="0" customWidth="1"/>
    <x:col min="5" max="5" width="30" hidden="0" customWidth="1"/>
    <x:col min="6" max="6" width="43" hidden="0" customWidth="1"/>
    <x:col min="7" max="7" width="18" hidden="0" customWidth="1"/>
    <x:col min="8" max="8" width="18" hidden="0" customWidth="1"/>
    <x:col min="9" max="9" width="10" hidden="0" customWidth="1"/>
  </x:cols>
  <x:sheetData>
    <x:row r="1">
      <x:c r="A1" s="64" t="str">
        <x:v>公開後の分析｜数字をCodexに改善ループへ戻す</x:v>
      </x:c>
      <x:c r="B1" s="64"/>
      <x:c r="C1" s="64"/>
      <x:c r="D1" s="64"/>
      <x:c r="E1" s="64"/>
      <x:c r="F1" s="64"/>
      <x:c r="G1" s="64"/>
      <x:c r="H1" s="64"/>
      <x:c r="I1" s="64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指標</x:v>
      </x:c>
      <x:c r="B3" s="67" t="str">
        <x:v>意味</x:v>
      </x:c>
      <x:c r="C3" s="67" t="str">
        <x:v>まず見るタイミング</x:v>
      </x:c>
      <x:c r="D3" s="67" t="str">
        <x:v>良/悪の見方</x:v>
      </x:c>
      <x:c r="E3" s="67" t="str">
        <x:v>悪い時の仮説</x:v>
      </x:c>
      <x:c r="F3" s="67" t="str">
        <x:v>Codexへの依頼</x:v>
      </x:c>
      <x:c r="G3" s="67" t="str">
        <x:v>改善対象</x:v>
      </x:c>
      <x:c r="H3" s="67" t="str">
        <x:v>記録先</x:v>
      </x:c>
      <x:c r="I3" s="67" t="str">
        <x:v>優先</x:v>
      </x:c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str">
        <x:v>インプレッションCTR</x:v>
      </x:c>
      <x:c r="B4" s="68" t="str">
        <x:v>サムネ/タイトルが押された割合</x:v>
      </x:c>
      <x:c r="C4" s="68" t="str">
        <x:v>24h/7日</x:v>
      </x:c>
      <x:c r="D4" s="68" t="str">
        <x:v>自分の過去4本比</x:v>
      </x:c>
      <x:c r="E4" s="68" t="str">
        <x:v>低い→企画/タイトル/サムネ</x:v>
      </x:c>
      <x:c r="F4" s="68" t="str">
        <x:v>CTR低下の原因を仮説3つ→1つに絞って</x:v>
      </x:c>
      <x:c r="G4" s="68" t="str">
        <x:v>企画/サムネ</x:v>
      </x:c>
      <x:c r="H4" s="68" t="str">
        <x:v>analytics.csv</x:v>
      </x:c>
      <x:c r="I4" s="68" t="str">
        <x:v>高</x:v>
      </x:c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str">
        <x:v>最初30秒維持</x:v>
      </x:c>
      <x:c r="B5" s="68" t="str">
        <x:v>冒頭で離脱していないか</x:v>
      </x:c>
      <x:c r="C5" s="68" t="str">
        <x:v>24h/7日</x:v>
      </x:c>
      <x:c r="D5" s="68" t="str">
        <x:v>過去4本比</x:v>
      </x:c>
      <x:c r="E5" s="68" t="str">
        <x:v>低い→前置き/期待不一致</x:v>
      </x:c>
      <x:c r="F5" s="68" t="str">
        <x:v>冒頭台本とタイトルのズレを指摘</x:v>
      </x:c>
      <x:c r="G5" s="68" t="str">
        <x:v>冒頭20秒</x:v>
      </x:c>
      <x:c r="H5" s="68" t="str">
        <x:v>analytics.csv</x:v>
      </x:c>
      <x:c r="I5" s="68" t="str">
        <x:v>高</x:v>
      </x:c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str">
        <x:v>平均視聴率</x:v>
      </x:c>
      <x:c r="B6" s="68" t="str">
        <x:v>動画全体が退屈でないか</x:v>
      </x:c>
      <x:c r="C6" s="68" t="str">
        <x:v>7日</x:v>
      </x:c>
      <x:c r="D6" s="68" t="str">
        <x:v>同じ尺の過去動画比</x:v>
      </x:c>
      <x:c r="E6" s="68" t="str">
        <x:v>低い→重複/間延び</x:v>
      </x:c>
      <x:c r="F6" s="68" t="str">
        <x:v>離脱しそうな章を台本構造から分析</x:v>
      </x:c>
      <x:c r="G6" s="68" t="str">
        <x:v>台本/編集</x:v>
      </x:c>
      <x:c r="H6" s="68" t="str">
        <x:v>analytics.csv</x:v>
      </x:c>
      <x:c r="I6" s="68" t="str">
        <x:v>高</x:v>
      </x:c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str">
        <x:v>ブラウジング比率</x:v>
      </x:c>
      <x:c r="B7" s="68" t="str">
        <x:v>ホームおすすめで広がったか</x:v>
      </x:c>
      <x:c r="C7" s="68" t="str">
        <x:v>7日</x:v>
      </x:c>
      <x:c r="D7" s="68" t="str">
        <x:v>増えるほどバズ型</x:v>
      </x:c>
      <x:c r="E7" s="68" t="str">
        <x:v>低い→検索型/企画弱い</x:v>
      </x:c>
      <x:c r="F7" s="68" t="str">
        <x:v>検索型かブラウズ型か分類</x:v>
      </x:c>
      <x:c r="G7" s="68" t="str">
        <x:v>企画</x:v>
      </x:c>
      <x:c r="H7" s="68" t="str">
        <x:v>analytics.csv</x:v>
      </x:c>
      <x:c r="I7" s="68" t="str">
        <x:v>中</x:v>
      </x:c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str">
        <x:v>検索流入</x:v>
      </x:c>
      <x:c r="B8" s="68" t="str">
        <x:v>長期資産になりそうか</x:v>
      </x:c>
      <x:c r="C8" s="68" t="str">
        <x:v>28日</x:v>
      </x:c>
      <x:c r="D8" s="68" t="str">
        <x:v>安定なら資産型</x:v>
      </x:c>
      <x:c r="E8" s="68" t="str">
        <x:v>低くても悪ではない</x:v>
      </x:c>
      <x:c r="F8" s="68" t="str">
        <x:v>検索クエリから次How-to候補</x:v>
      </x:c>
      <x:c r="G8" s="68" t="str">
        <x:v>SEO企画</x:v>
      </x:c>
      <x:c r="H8" s="68" t="str">
        <x:v>analytics.csv</x:v>
      </x:c>
      <x:c r="I8" s="68" t="str">
        <x:v>中</x:v>
      </x:c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str">
        <x:v>登録者/1000再生</x:v>
      </x:c>
      <x:c r="B9" s="68" t="str">
        <x:v>視聴者との相性</x:v>
      </x:c>
      <x:c r="C9" s="68" t="str">
        <x:v>7日</x:v>
      </x:c>
      <x:c r="D9" s="68" t="str">
        <x:v>自分比</x:v>
      </x:c>
      <x:c r="E9" s="68" t="str">
        <x:v>低い→単発需要</x:v>
      </x:c>
      <x:c r="F9" s="68" t="str">
        <x:v>コメント/登録転換からシリーズ化判断</x:v>
      </x:c>
      <x:c r="G9" s="68" t="str">
        <x:v>シリーズ</x:v>
      </x:c>
      <x:c r="H9" s="68" t="str">
        <x:v>analytics.csv</x:v>
      </x:c>
      <x:c r="I9" s="68" t="str">
        <x:v>中</x:v>
      </x:c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str">
        <x:v>コメント</x:v>
      </x:c>
      <x:c r="B10" s="68" t="str">
        <x:v>次の困りごとの宝庫</x:v>
      </x:c>
      <x:c r="C10" s="68" t="str">
        <x:v>随時</x:v>
      </x:c>
      <x:c r="D10" s="68" t="str">
        <x:v>具体質問が多いほど良</x:v>
      </x:c>
      <x:c r="E10" s="68" t="str">
        <x:v>荒れ/誤解はFact改善</x:v>
      </x:c>
      <x:c r="F10" s="68" t="str">
        <x:v>質問カテゴリに分類し次企画10件</x:v>
      </x:c>
      <x:c r="G10" s="68" t="str">
        <x:v>企画</x:v>
      </x:c>
      <x:c r="H10" s="68" t="str">
        <x:v>comments.csv</x:v>
      </x:c>
      <x:c r="I10" s="68" t="str">
        <x:v>高</x:v>
      </x:c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7" t="str">
        <x:v>動画</x:v>
      </x:c>
      <x:c r="B13" s="67" t="str">
        <x:v>CTR</x:v>
      </x:c>
      <x:c r="C13" s="67" t="str">
        <x:v>30秒維持</x:v>
      </x:c>
      <x:c r="D13" s="67" t="str">
        <x:v>平均視聴率</x:v>
      </x:c>
      <x:c r="E13" s="67" t="str">
        <x:v>1000再生登録</x:v>
      </x:c>
      <x:c r="F13" s="67" t="str">
        <x:v>総合観測</x:v>
      </x:c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 t="str">
        <x:v>Video 1</x:v>
      </x:c>
      <x:c r="B14" s="84"/>
      <x:c r="C14" s="84"/>
      <x:c r="D14" s="84"/>
      <x:c r="E14" s="84"/>
      <x:c r="F14" s="84" t="str">
        <x:f>IF(COUNT(B14:E14)=0,"",AVERAGE(B14:E14))</x:f>
      </x:c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 t="str">
        <x:v>Video 2</x:v>
      </x:c>
      <x:c r="B15" s="84"/>
      <x:c r="C15" s="84"/>
      <x:c r="D15" s="84"/>
      <x:c r="E15" s="84"/>
      <x:c r="F15" s="84" t="str">
        <x:f>IF(COUNT(B15:E15)=0,"",AVERAGE(B15:E15))</x:f>
      </x:c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 t="str">
        <x:v>Video 3</x:v>
      </x:c>
      <x:c r="B16" s="84"/>
      <x:c r="C16" s="84"/>
      <x:c r="D16" s="84"/>
      <x:c r="E16" s="84"/>
      <x:c r="F16" s="84" t="str">
        <x:f>IF(COUNT(B16:E16)=0,"",AVERAGE(B16:E16))</x:f>
      </x:c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 t="str">
        <x:v>Video 4</x:v>
      </x:c>
      <x:c r="B17" s="84"/>
      <x:c r="C17" s="84"/>
      <x:c r="D17" s="84"/>
      <x:c r="E17" s="84"/>
      <x:c r="F17" s="84" t="str">
        <x:f>IF(COUNT(B17:E17)=0,"",AVERAGE(B17:E17))</x:f>
      </x:c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 t="str">
        <x:v>Video 5</x:v>
      </x:c>
      <x:c r="B18" s="84"/>
      <x:c r="C18" s="84"/>
      <x:c r="D18" s="84"/>
      <x:c r="E18" s="84"/>
      <x:c r="F18" s="84" t="str">
        <x:f>IF(COUNT(B18:E18)=0,"",AVERAGE(B18:E18))</x:f>
      </x:c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I1"/>
  </x:mergeCells>
  <x:conditionalFormatting sqref="I4:I10">
    <x:cfRule type="expression" dxfId="10" priority="1">
      <x:formula>$I4="高"</x:formula>
    </x:cfRule>
  </x:conditionalFormatting>
  <x:conditionalFormatting sqref="F14:F1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5" hidden="0" customWidth="1"/>
    <x:col min="4" max="4" width="45" hidden="0" customWidth="1"/>
    <x:col min="5" max="5" width="28" hidden="0" customWidth="1"/>
    <x:col min="6" max="6" width="30" hidden="0" customWidth="1"/>
    <x:col min="7" max="7" width="13" hidden="0" customWidth="1"/>
    <x:col min="8" max="8" width="13" hidden="0" customWidth="1"/>
    <x:col min="9" max="9" width="28" hidden="0" customWidth="1"/>
  </x:cols>
  <x:sheetData>
    <x:row r="1">
      <x:c r="A1" s="64" t="str">
        <x:v>自動化ロードマップ｜何から作るか</x:v>
      </x:c>
      <x:c r="B1" s="64"/>
      <x:c r="C1" s="64"/>
      <x:c r="D1" s="64"/>
      <x:c r="E1" s="64"/>
      <x:c r="F1" s="64"/>
      <x:c r="G1" s="64"/>
      <x:c r="H1" s="64"/>
      <x:c r="I1" s="64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Phase</x:v>
      </x:c>
      <x:c r="B3" s="67" t="str">
        <x:v>期間目安</x:v>
      </x:c>
      <x:c r="C3" s="67" t="str">
        <x:v>目標</x:v>
      </x:c>
      <x:c r="D3" s="67" t="str">
        <x:v>Codexに作らせるもの</x:v>
      </x:c>
      <x:c r="E3" s="67" t="str">
        <x:v>人間に残す</x:v>
      </x:c>
      <x:c r="F3" s="67" t="str">
        <x:v>完成条件</x:v>
      </x:c>
      <x:c r="G3" s="67" t="str">
        <x:v>自動化率</x:v>
      </x:c>
      <x:c r="H3" s="67" t="str">
        <x:v>状態</x:v>
      </x:c>
      <x:c r="I3" s="67" t="str">
        <x:v>やらないこと</x:v>
      </x:c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str">
        <x:v>0</x:v>
      </x:c>
      <x:c r="B4" s="68" t="str">
        <x:v>開始前</x:v>
      </x:c>
      <x:c r="C4" s="68" t="str">
        <x:v>1本を手作業で理解</x:v>
      </x:c>
      <x:c r="D4" s="68" t="str">
        <x:v>AGENTS.md/テンプレ/フォルダ</x:v>
      </x:c>
      <x:c r="E4" s="68" t="str">
        <x:v>企画・撮影・確認</x:v>
      </x:c>
      <x:c r="F4" s="68" t="str">
        <x:v>1本公開できる</x:v>
      </x:c>
      <x:c r="G4" s="82" t="n">
        <x:v>0.55</x:v>
      </x:c>
      <x:c r="H4" s="68" t="str">
        <x:v>未着手</x:v>
      </x:c>
      <x:c r="I4" s="68" t="str">
        <x:v>API連携</x:v>
      </x:c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str">
        <x:v>1</x:v>
      </x:c>
      <x:c r="B5" s="68" t="str">
        <x:v>1〜3本</x:v>
      </x:c>
      <x:c r="C5" s="68" t="str">
        <x:v>制作型を固定</x:v>
      </x:c>
      <x:c r="D5" s="68" t="str">
        <x:v>new_episode / TTS / 字幕 / FFmpeg / thumbnail</x:v>
      </x:c>
      <x:c r="E5" s="68" t="str">
        <x:v>実機録画・最終QC</x:v>
      </x:c>
      <x:c r="F5" s="68" t="str">
        <x:v>3本を同じ構造で完成</x:v>
      </x:c>
      <x:c r="G5" s="82" t="n">
        <x:v>0.8</x:v>
      </x:c>
      <x:c r="H5" s="68" t="str">
        <x:v>未着手</x:v>
      </x:c>
      <x:c r="I5" s="68" t="str">
        <x:v>自動投稿</x:v>
      </x:c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str">
        <x:v>2</x:v>
      </x:c>
      <x:c r="B6" s="68" t="str">
        <x:v>4〜6本</x:v>
      </x:c>
      <x:c r="C6" s="68" t="str">
        <x:v>リサーチを半自動化</x:v>
      </x:c>
      <x:c r="D6" s="68" t="str">
        <x:v>sources lint / 競合CSV / topic score</x:v>
      </x:c>
      <x:c r="E6" s="68" t="str">
        <x:v>企画最終決定</x:v>
      </x:c>
      <x:c r="F6" s="68" t="str">
        <x:v>候補→台本が安定</x:v>
      </x:c>
      <x:c r="G6" s="82" t="n">
        <x:v>0.88</x:v>
      </x:c>
      <x:c r="H6" s="68" t="str">
        <x:v>未着手</x:v>
      </x:c>
      <x:c r="I6" s="68" t="str">
        <x:v>高度な管理画面</x:v>
      </x:c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str">
        <x:v>3</x:v>
      </x:c>
      <x:c r="B7" s="68" t="str">
        <x:v>7〜12本</x:v>
      </x:c>
      <x:c r="C7" s="68" t="str">
        <x:v>分析ループ</x:v>
      </x:c>
      <x:c r="D7" s="68" t="str">
        <x:v>Analytics取得/比較/review</x:v>
      </x:c>
      <x:c r="E7" s="68" t="str">
        <x:v>改善仮説の採用</x:v>
      </x:c>
      <x:c r="F7" s="68" t="str">
        <x:v>12本の数字比較が可能</x:v>
      </x:c>
      <x:c r="G7" s="82" t="n">
        <x:v>0.92</x:v>
      </x:c>
      <x:c r="H7" s="68" t="str">
        <x:v>未着手</x:v>
      </x:c>
      <x:c r="I7" s="68" t="str">
        <x:v>複数CH同時運営</x:v>
      </x:c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str">
        <x:v>4</x:v>
      </x:c>
      <x:c r="B8" s="68" t="str">
        <x:v>12本後</x:v>
      </x:c>
      <x:c r="C8" s="68" t="str">
        <x:v>投稿周辺を省力化</x:v>
      </x:c>
      <x:c r="D8" s="68" t="str">
        <x:v>publish.json / upload補助</x:v>
      </x:c>
      <x:c r="E8" s="68" t="str">
        <x:v>公開ボタン/最終確認</x:v>
      </x:c>
      <x:c r="F8" s="68" t="str">
        <x:v>制作1本が再現可能</x:v>
      </x:c>
      <x:c r="G8" s="82" t="n">
        <x:v>0.95</x:v>
      </x:c>
      <x:c r="H8" s="68" t="str">
        <x:v>未着手</x:v>
      </x:c>
      <x:c r="I8" s="68" t="str">
        <x:v>完全無人公開</x:v>
      </x:c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str">
        <x:v>5</x:v>
      </x:c>
      <x:c r="B9" s="68" t="str">
        <x:v>勝ち筋確認後</x:v>
      </x:c>
      <x:c r="C9" s="68" t="str">
        <x:v>再利用可能なYouTube OS</x:v>
      </x:c>
      <x:c r="D9" s="68" t="str">
        <x:v>Skill化/CLI化/複数テンプレ</x:v>
      </x:c>
      <x:c r="E9" s="68" t="str">
        <x:v>企画責任</x:v>
      </x:c>
      <x:c r="F9" s="68" t="str">
        <x:v>別ジャンルへ移植可能</x:v>
      </x:c>
      <x:c r="G9" s="82" t="n">
        <x:v>0.95</x:v>
      </x:c>
      <x:c r="H9" s="68" t="str">
        <x:v>未着手</x:v>
      </x:c>
      <x:c r="I9" s="68" t="str">
        <x:v>仕組みを目的化</x:v>
      </x:c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I1"/>
  </x:mergeCells>
  <x:conditionalFormatting sqref="G4:G9">
    <x:cfRule type="dataBar" priority="1">
      <x:dataBar>
        <x:cfvo type="min"/>
        <x:cfvo type="max"/>
        <x:color rgb="FF2C7A7B"/>
      </x:dataBar>
      <x:extLst>
        <x:ext xmlns:x14="http://schemas.microsoft.com/office/spreadsheetml/2009/9/main" uri="{B025F937-C7B1-47D3-B67F-A62EFF666E3E}">
          <x14:id>{3E5B29A3-37BB-5FF7-A746-D03CB2B7D5AC}</x14:id>
        </x:ext>
      </x:extLst>
    </x:cfRule>
  </x:conditionalFormatting>
  <x:dataValidations count="1">
    <x:dataValidation type="list" sqref="H4:H9">
      <x:formula1>"未着手,進行中,完了"</x:formula1>
    </x:dataValidation>
  </x:dataValidations>
  <x:pageMargins left="0.7" right="0.7" top="0.75" bottom="0.75" header="0.3" footer="0.3"/>
  <x:drawing xmlns:r="http://schemas.openxmlformats.org/officeDocument/2006/relationships" r:id="R4f3c6e5113b5429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E5B29A3-37BB-5FF7-A746-D03CB2B7D5AC}">
            <x14:dataBar gradient="1">
              <x14:cfvo type="min"/>
              <x14:cfvo type="max"/>
              <x14:fillColor rgb="FF2C7A7B"/>
            </x14:dataBar>
          </x14:cfRule>
          <xm:sqref>G4:G9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  <x:col min="3" max="3" width="55" hidden="0" customWidth="1"/>
  </x:cols>
  <x:sheetData>
    <x:row r="1">
      <x:c r="A1" s="64" t="str">
        <x:v>出典・公式ドキュメント</x:v>
      </x:c>
      <x:c r="B1" s="64"/>
      <x:c r="C1" s="64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7" t="str">
        <x:v>用途</x:v>
      </x:c>
      <x:c r="B3" s="67" t="str">
        <x:v>URL</x:v>
      </x:c>
      <x:c r="C3" s="67" t="str">
        <x:v>メモ</x:v>
      </x:c>
      <x:c r="D3" s="65"/>
      <x:c r="E3" s="65"/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8" t="str">
        <x:v>Codex活用例</x:v>
      </x:c>
      <x:c r="B4" s="68" t="str">
        <x:v>https://developers.openai.com/codex/use-cases</x:v>
      </x:c>
      <x:c r="C4" s="68" t="str">
        <x:v>反復作業・分析・自動化の設計参考</x:v>
      </x:c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8" t="str">
        <x:v>AGENTS.md仕様</x:v>
      </x:c>
      <x:c r="B5" s="68" t="str">
        <x:v>https://github.com/openai/codex/blob/main/codex-rs/core/gpt_5_1_prompt.md</x:v>
      </x:c>
      <x:c r="C5" s="68" t="str">
        <x:v>リポジトリ内AGENTS.mdのルール参考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8" t="str">
        <x:v>AGENTS実装</x:v>
      </x:c>
      <x:c r="B6" s="68" t="str">
        <x:v>https://github.com/openai/codex/blob/main/codex-rs/core/src/agents_md.rs</x:v>
      </x:c>
      <x:c r="C6" s="68" t="str">
        <x:v>AGENTS.md探索の実装参考</x:v>
      </x:c>
      <x:c r="D6" s="65"/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8" t="str">
        <x:v>Codex Skills</x:v>
      </x:c>
      <x:c r="B7" s="68" t="str">
        <x:v>https://github.com/openai/skills</x:v>
      </x:c>
      <x:c r="C7" s="68" t="str">
        <x:v>後半で制作ワークフローをSkill化する参考</x:v>
      </x:c>
      <x:c r="D7" s="65"/>
      <x:c r="E7" s="65"/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8" t="str">
        <x:v>YouTube収益化ポリシー</x:v>
      </x:c>
      <x:c r="B8" s="68" t="str">
        <x:v>https://support.google.com/youtube/answer/1311392?hl=ja</x:v>
      </x:c>
      <x:c r="C8" s="68" t="str">
        <x:v>大量生産/反復的コンテンツ等の確認</x:v>
      </x:c>
      <x:c r="D8" s="65"/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8" t="str">
        <x:v>YouTube Data API</x:v>
      </x:c>
      <x:c r="B9" s="68" t="str">
        <x:v>https://developers.google.com/youtube/v3</x:v>
      </x:c>
      <x:c r="C9" s="68" t="str">
        <x:v>動画・チャンネルメタデータ取得</x:v>
      </x:c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8" t="str">
        <x:v>YouTube Analytics API</x:v>
      </x:c>
      <x:c r="B10" s="68" t="str">
        <x:v>https://developers.google.com/youtube/analytics</x:v>
      </x:c>
      <x:c r="C10" s="68" t="str">
        <x:v>自チャンネル分析取得</x:v>
      </x:c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8" t="str">
        <x:v>FFmpeg</x:v>
      </x:c>
      <x:c r="B11" s="68" t="str">
        <x:v>https://ffmpeg.org/documentation.html</x:v>
      </x:c>
      <x:c r="C11" s="68" t="str">
        <x:v>編集自動化の中核</x:v>
      </x:c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C1"/>
  </x:mergeCells>
  <x:pageMargins left="0.7" right="0.7" top="0.75" bottom="0.75" header="0.3" footer="0.3"/>
</x:worksheet>
</file>