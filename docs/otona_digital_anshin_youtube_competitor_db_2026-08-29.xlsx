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c86a96b7a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ダッシュボード" sheetId="1" r:id="Rd5214b14e6554c7a"/>
    <x:sheet xmlns:r="http://schemas.openxmlformats.org/officeDocument/2006/relationships" name="01_競合DB" sheetId="2" r:id="Re4e9ff261a7b4926"/>
    <x:sheet xmlns:r="http://schemas.openxmlformats.org/officeDocument/2006/relationships" name="02_バズ動画" sheetId="3" r:id="R158e340e780744b2"/>
    <x:sheet xmlns:r="http://schemas.openxmlformats.org/officeDocument/2006/relationships" name="03_勝ち筋" sheetId="4" r:id="Rb4ed5b9620124c05"/>
    <x:sheet xmlns:r="http://schemas.openxmlformats.org/officeDocument/2006/relationships" name="04_最初の12本" sheetId="5" r:id="Re9f939bee6e24762"/>
    <x:sheet xmlns:r="http://schemas.openxmlformats.org/officeDocument/2006/relationships" name="05_サムネ設計" sheetId="6" r:id="Rb134fd9490864129"/>
    <x:sheet xmlns:r="http://schemas.openxmlformats.org/officeDocument/2006/relationships" name="06_ブランド設計" sheetId="7" r:id="R5f6f7bda5baf4e67"/>
    <x:sheet xmlns:r="http://schemas.openxmlformats.org/officeDocument/2006/relationships" name="07_出典" sheetId="8" r:id="R5218526dcae9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&quot;x&quot;"/>
    <x:numFmt numFmtId="202" formatCode="0.0"/>
    <x:numFmt numFmtId="203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F855A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6CB0"/>
      </x:patternFill>
    </x:fill>
    <x:fill>
      <x:patternFill patternType="solid">
        <x:fgColor rgb="FFE9F7E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455bbd6e04c39" /><Relationship Type="http://schemas.openxmlformats.org/officeDocument/2006/relationships/theme" Target="/xl/theme/theme1.xml" Id="Rb08107467b2744f9" /><Relationship Type="http://schemas.openxmlformats.org/officeDocument/2006/relationships/sharedStrings" Target="/xl/sharedStrings.xml" Id="Ra6a2dc1268464f34" /><Relationship Type="http://schemas.openxmlformats.org/officeDocument/2006/relationships/worksheet" Target="/xl/worksheets/sheet1.xml" Id="Rd5214b14e6554c7a" /><Relationship Type="http://schemas.openxmlformats.org/officeDocument/2006/relationships/worksheet" Target="/xl/worksheets/sheet2.xml" Id="Re4e9ff261a7b4926" /><Relationship Type="http://schemas.openxmlformats.org/officeDocument/2006/relationships/worksheet" Target="/xl/worksheets/sheet3.xml" Id="R158e340e780744b2" /><Relationship Type="http://schemas.openxmlformats.org/officeDocument/2006/relationships/worksheet" Target="/xl/worksheets/sheet4.xml" Id="Rb4ed5b9620124c05" /><Relationship Type="http://schemas.openxmlformats.org/officeDocument/2006/relationships/worksheet" Target="/xl/worksheets/sheet5.xml" Id="Re9f939bee6e24762" /><Relationship Type="http://schemas.openxmlformats.org/officeDocument/2006/relationships/worksheet" Target="/xl/worksheets/sheet6.xml" Id="Rb134fd9490864129" /><Relationship Type="http://schemas.openxmlformats.org/officeDocument/2006/relationships/worksheet" Target="/xl/worksheets/sheet7.xml" Id="R5f6f7bda5baf4e67" /><Relationship Type="http://schemas.openxmlformats.org/officeDocument/2006/relationships/worksheet" Target="/xl/worksheets/sheet8.xml" Id="R5218526dcae943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2c3f34f26c4c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観測した代表バズ動画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再生数</c:v>
          </c:tx>
          <c:cat>
            <c:strRef>
              <c:f>'00_ダッシュボード'!$J$5:$J$12</c:f>
              <c:strCache>
                <c:ptCount val="0"/>
              </c:strCache>
            </c:strRef>
          </c:cat>
          <c:val>
            <c:numRef>
              <c:f>'00_ダッシュボード'!$K$5:$K$12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2c3f34f26c4c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etitorTable" displayName="CompetitorTable" ref="A1:T41" headerRowCount="1" totalsRowCount="0" totalsRowShown="0">
  <x:tableColumns count="20">
    <x:tableColumn id="1" name="No"/>
    <x:tableColumn id="2" name="層"/>
    <x:tableColumn id="3" name="チャンネル"/>
    <x:tableColumn id="4" name="登録者"/>
    <x:tableColumn id="5" name="総再生"/>
    <x:tableColumn id="6" name="動画数"/>
    <x:tableColumn id="7" name="監査深度"/>
    <x:tableColumn id="8" name="主形式"/>
    <x:tableColumn id="9" name="直近頻度"/>
    <x:tableColumn id="10" name="直近観測日"/>
    <x:tableColumn id="11" name="直近/代表再生"/>
    <x:tableColumn id="12" name="観測バズ動画"/>
    <x:tableColumn id="13" name="バズ再生"/>
    <x:tableColumn id="14" name="尺"/>
    <x:tableColumn id="15" name="バズ/登録者"/>
    <x:tableColumn id="16" name="勝ちタイトル型"/>
    <x:tableColumn id="17" name="サムネ型"/>
    <x:tableColumn id="18" name="戦略メモ"/>
    <x:tableColumn id="19" name="Source 1"/>
    <x:tableColumn id="20" name="Source 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zzVideoTable" displayName="BuzzVideoTable" ref="A1:K31" headerRowCount="1" totalsRowCount="0" totalsRowShown="0">
  <x:tableColumns count="11">
    <x:tableColumn id="1" name="チャンネル"/>
    <x:tableColumn id="2" name="公開日"/>
    <x:tableColumn id="3" name="動画/企画"/>
    <x:tableColumn id="4" name="再生数"/>
    <x:tableColumn id="5" name="尺(分)"/>
    <x:tableColumn id="6" name="柱"/>
    <x:tableColumn id="7" name="トリガー"/>
    <x:tableColumn id="8" name="タイトル構文"/>
    <x:tableColumn id="9" name="サムネ短文例"/>
    <x:tableColumn id="10" name="なぜ効くか"/>
    <x:tableColumn id="11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admapTable" displayName="RoadmapTable" ref="A1:O13" headerRowCount="1" totalsRowCount="0" totalsRowShown="0">
  <x:tableColumns count="15">
    <x:tableColumn id="1" name="No"/>
    <x:tableColumn id="2" name="柱"/>
    <x:tableColumn id="3" name="仮タイトル"/>
    <x:tableColumn id="4" name="サムネ短文"/>
    <x:tableColumn id="5" name="目標尺(分)"/>
    <x:tableColumn id="6" name="冒頭20秒"/>
    <x:tableColumn id="7" name="一次情報/証拠"/>
    <x:tableColumn id="8" name="差別化ポイント"/>
    <x:tableColumn id="9" name="狙い"/>
    <x:tableColumn id="10" name="公開予定"/>
    <x:tableColumn id="11" name="期待度"/>
    <x:tableColumn id="12" name="長寿命"/>
    <x:tableColumn id="13" name="リスク"/>
    <x:tableColumn id="14" name="優先スコア"/>
    <x:tableColumn id="15" name="状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7bc3f9d37b4c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e3a8892d1a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80b387482045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74246a43d87486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6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10" max="10" width="22" hidden="0" customWidth="1"/>
    <x:col min="11" max="11" width="14" hidden="0" customWidth="1"/>
  </x:cols>
  <x:sheetData>
    <x:row r="1">
      <x:c r="A1" s="40" t="str">
        <x:v>大人のデジタル安心室｜競合DB &amp; 6週間ローンチ設計</x:v>
      </x:c>
      <x:c r="B1" s="40"/>
      <x:c r="C1" s="40"/>
      <x:c r="D1" s="40"/>
      <x:c r="E1" s="40"/>
      <x:c r="F1" s="40"/>
      <x:c r="G1" s="40"/>
      <x:c r="H1" s="40"/>
    </x:row>
    <x:row r="2">
      <x:c r="A2" s="40"/>
      <x:c r="B2" s="40"/>
      <x:c r="C2" s="40"/>
      <x:c r="D2" s="40"/>
      <x:c r="E2" s="40"/>
      <x:c r="F2" s="40"/>
      <x:c r="G2" s="40"/>
      <x:c r="H2" s="40"/>
    </x:row>
    <x:row r="4">
      <x:c r="A4" s="6" t="str">
        <x:v>KPI</x:v>
      </x:c>
      <x:c r="B4" s="6" t="str">
        <x:v>値</x:v>
      </x:c>
      <x:c r="D4" s="30" t="str">
        <x:v>参入判断：GO。ただし『危険設定の煽りコピー』にはしない</x:v>
      </x:c>
      <x:c r="E4" s="30"/>
      <x:c r="F4" s="30"/>
      <x:c r="G4" s="30"/>
      <x:c r="H4" s="30"/>
      <x:c r="J4" s="6" t="str">
        <x:v>代表バズ</x:v>
      </x:c>
      <x:c r="K4" s="6" t="str">
        <x:v>再生数</x:v>
      </x:c>
    </x:row>
    <x:row r="5">
      <x:c r="A5" s="46" t="str">
        <x:v>スマホ系母集団</x:v>
      </x:c>
      <x:c r="B5" s="44" t="n">
        <x:v>52</x:v>
      </x:c>
      <x:c r="D5" s="49" t="str">
        <x:v>需要は強い一方、2025〜26年に『今すぐOFF／危険設定／中高年』型が急増。勝ち筋は LINE/Google等の身近なサービス × 危険/変更/容量/誤解 × 実機。差別化は『怖がらせる前に、確認する。』＝一次情報の日付を出し、噂も検証すること。</x:v>
      </x:c>
      <x:c r="E5" s="49"/>
      <x:c r="F5" s="49"/>
      <x:c r="G5" s="49"/>
      <x:c r="H5" s="49"/>
      <x:c r="J5" t="str">
        <x:v>Google vs Chrome</x:v>
      </x:c>
      <x:c r="K5" s="12" t="n">
        <x:v>4892947</x:v>
      </x:c>
    </x:row>
    <x:row r="6">
      <x:c r="A6" s="46" t="str">
        <x:v>抽出チャンネル</x:v>
      </x:c>
      <x:c r="B6" s="44" t="n">
        <x:v>40</x:v>
      </x:c>
      <x:c r="D6" s="49"/>
      <x:c r="E6" s="49"/>
      <x:c r="F6" s="49"/>
      <x:c r="G6" s="49"/>
      <x:c r="H6" s="49"/>
      <x:c r="J6" t="str">
        <x:v>LINE 個人情報</x:v>
      </x:c>
      <x:c r="K6" s="12" t="n">
        <x:v>3875916</x:v>
      </x:c>
    </x:row>
    <x:row r="7">
      <x:c r="A7" s="46" t="str">
        <x:v>Deep監査</x:v>
      </x:c>
      <x:c r="B7" s="44" t="n">
        <x:v>17</x:v>
      </x:c>
      <x:c r="D7" s="49"/>
      <x:c r="E7" s="49"/>
      <x:c r="F7" s="49"/>
      <x:c r="G7" s="49"/>
      <x:c r="H7" s="49"/>
      <x:c r="J7" t="str">
        <x:v>Android危険設定</x:v>
      </x:c>
      <x:c r="K7" s="12" t="n">
        <x:v>2316867</x:v>
      </x:c>
    </x:row>
    <x:row r="8">
      <x:c r="A8" s="46" t="str">
        <x:v>バズ動画サンプル</x:v>
      </x:c>
      <x:c r="B8" s="44" t="n">
        <x:v>30</x:v>
      </x:c>
      <x:c r="D8" s="49"/>
      <x:c r="E8" s="49"/>
      <x:c r="F8" s="49"/>
      <x:c r="G8" s="49"/>
      <x:c r="H8" s="49"/>
      <x:c r="J8" t="str">
        <x:v>スマホのマーク</x:v>
      </x:c>
      <x:c r="K8" s="12" t="n">
        <x:v>2276936</x:v>
      </x:c>
    </x:row>
    <x:row r="9">
      <x:c r="A9" s="46" t="str">
        <x:v>初期投稿</x:v>
      </x:c>
      <x:c r="B9" s="44" t="n">
        <x:v>12</x:v>
      </x:c>
      <x:c r="D9" s="49"/>
      <x:c r="E9" s="49"/>
      <x:c r="F9" s="49"/>
      <x:c r="G9" s="49"/>
      <x:c r="H9" s="49"/>
      <x:c r="J9" t="str">
        <x:v>LINE容量整理</x:v>
      </x:c>
      <x:c r="K9" s="12" t="n">
        <x:v>1441449</x:v>
      </x:c>
    </x:row>
    <x:row r="10">
      <x:c r="A10" s="46" t="str">
        <x:v>検証期間(週)</x:v>
      </x:c>
      <x:c r="B10" s="44" t="n">
        <x:v>6</x:v>
      </x:c>
      <x:c r="D10" s="49"/>
      <x:c r="E10" s="49"/>
      <x:c r="F10" s="49"/>
      <x:c r="G10" s="49"/>
      <x:c r="H10" s="49"/>
      <x:c r="J10" t="str">
        <x:v>iPhone危険設定</x:v>
      </x:c>
      <x:c r="K10" s="12" t="n">
        <x:v>1411051</x:v>
      </x:c>
    </x:row>
    <x:row r="11">
      <x:c r="J11" t="str">
        <x:v>秘密の証拠</x:v>
      </x:c>
      <x:c r="K11" s="12" t="n">
        <x:v>1212928</x:v>
      </x:c>
    </x:row>
    <x:row r="12">
      <x:c r="A12" s="6" t="str">
        <x:v>最終チャンネル名</x:v>
      </x:c>
      <x:c r="B12" s="6" t="str">
        <x:v>対象</x:v>
      </x:c>
      <x:c r="C12" s="6" t="str">
        <x:v>投稿設計</x:v>
      </x:c>
      <x:c r="D12" s="6" t="str">
        <x:v>ブランド約束</x:v>
      </x:c>
      <x:c r="E12" s="6"/>
      <x:c r="F12" s="6"/>
      <x:c r="J12" t="str">
        <x:v>LINE高額請求</x:v>
      </x:c>
      <x:c r="K12" s="12" t="n">
        <x:v>944408</x:v>
      </x:c>
    </x:row>
    <x:row r="13">
      <x:c r="A13" s="54" t="str">
        <x:v>大人のデジタル安心室</x:v>
      </x:c>
      <x:c r="B13" s="54" t="str">
        <x:v>50〜70代＋家族サポート層</x:v>
      </x:c>
      <x:c r="C13" s="54" t="str">
        <x:v>週2本×6週間 / 8〜15分中心</x:v>
      </x:c>
      <x:c r="D13" s="61" t="str">
        <x:v>怖がらせる前に、確認する。
公式情報＋実機で『何をすればいいか』まで示す</x:v>
      </x:c>
      <x:c r="E13" s="61"/>
      <x:c r="F13" s="61"/>
    </x:row>
    <x:row r="14">
      <x:c r="D14" s="61"/>
      <x:c r="E14" s="61"/>
      <x:c r="F14" s="61"/>
    </x:row>
    <x:row r="16">
      <x:c r="A16" s="6" t="str">
        <x:v>優先</x:v>
      </x:c>
      <x:c r="B16" s="6" t="str">
        <x:v>柱</x:v>
      </x:c>
      <x:c r="C16" s="6" t="str">
        <x:v>最初の3本</x:v>
      </x:c>
      <x:c r="D16" s="6" t="str">
        <x:v>サムネ</x:v>
      </x:c>
      <x:c r="E16" s="6" t="str">
        <x:v>尺</x:v>
      </x:c>
      <x:c r="F16" s="6" t="str">
        <x:v>役割</x:v>
      </x:c>
    </x:row>
    <x:row r="17">
      <x:c r="A17" s="16" t="n">
        <x:v>1</x:v>
      </x:c>
      <x:c r="B17" s="16" t="str">
        <x:v>守る</x:v>
      </x:c>
      <x:c r="C17" s="16" t="str">
        <x:v>Googleアカウント安全点検5項目</x:v>
      </x:c>
      <x:c r="D17" s="16" t="str">
        <x:v>Google 5項目だけ</x:v>
      </x:c>
      <x:c r="E17" s="16" t="n">
        <x:v>10</x:v>
      </x:c>
      <x:c r="F17" s="16" t="str">
        <x:v>基準動画</x:v>
      </x:c>
    </x:row>
    <x:row r="18">
      <x:c r="A18" s="16" t="n">
        <x:v>2</x:v>
      </x:c>
      <x:c r="B18" s="16" t="str">
        <x:v>守る</x:v>
      </x:c>
      <x:c r="C18" s="16" t="str">
        <x:v>LINE高額請求の噂を公式検証</x:v>
      </x:c>
      <x:c r="D18" s="16" t="str">
        <x:v>その噂、本当？</x:v>
      </x:c>
      <x:c r="E18" s="16" t="n">
        <x:v>9</x:v>
      </x:c>
      <x:c r="F18" s="16" t="str">
        <x:v>信頼差別化</x:v>
      </x:c>
    </x:row>
    <x:row r="19">
      <x:c r="A19" s="16" t="n">
        <x:v>3</x:v>
      </x:c>
      <x:c r="B19" s="16" t="str">
        <x:v>整える</x:v>
      </x:c>
      <x:c r="C19" s="16" t="str">
        <x:v>写真を消す前の安全な容量整理</x:v>
      </x:c>
      <x:c r="D19" s="16" t="str">
        <x:v>写真は消さない</x:v>
      </x:c>
      <x:c r="E19" s="16" t="n">
        <x:v>11</x:v>
      </x:c>
      <x:c r="F19" s="16" t="str">
        <x:v>強い痛み需要</x:v>
      </x:c>
    </x:row>
    <x:row r="22">
      <x:c r="A22" s="29" t="str">
        <x:v>DBの読み方</x:v>
      </x:c>
      <x:c r="B22" s="29"/>
      <x:c r="C22" s="29"/>
      <x:c r="D22" s="29"/>
      <x:c r="E22" s="29"/>
      <x:c r="F22" s="29"/>
      <x:c r="G22" s="29"/>
      <x:c r="H22" s="29"/>
    </x:row>
    <x:row r="23">
      <x:c r="A23" s="68" t="str">
        <x:v>01_競合DB：40チャンネル（Deep=直近/バズまで精査、Landscape=市場マップ）
02_バズ動画：30本をトリガー分類
03_勝ち筋：危険・変更・容量・誤解・驚き機能を比較
04_最初の12本：制作バックログ
05_サムネ設計：強い構文は使うが誤解を招く断定はしない
06_ブランド設計：名称・約束・コンテンツ比率</x:v>
      </x:c>
      <x:c r="B23" s="68"/>
      <x:c r="C23" s="68"/>
      <x:c r="D23" s="68"/>
      <x:c r="E23" s="68"/>
      <x:c r="F23" s="68"/>
      <x:c r="G23" s="68"/>
      <x:c r="H23" s="68"/>
    </x:row>
    <x:row r="24">
      <x:c r="A24" s="68"/>
      <x:c r="B24" s="68"/>
      <x:c r="C24" s="68"/>
      <x:c r="D24" s="68"/>
      <x:c r="E24" s="68"/>
      <x:c r="F24" s="68"/>
      <x:c r="G24" s="68"/>
      <x:c r="H24" s="68"/>
    </x:row>
    <x:row r="25">
      <x:c r="A25" s="68"/>
      <x:c r="B25" s="68"/>
      <x:c r="C25" s="68"/>
      <x:c r="D25" s="68"/>
      <x:c r="E25" s="68"/>
      <x:c r="F25" s="68"/>
      <x:c r="G25" s="68"/>
      <x:c r="H25" s="68"/>
    </x:row>
    <x:row r="26">
      <x:c r="A26" s="68"/>
      <x:c r="B26" s="68"/>
      <x:c r="C26" s="68"/>
      <x:c r="D26" s="68"/>
      <x:c r="E26" s="68"/>
      <x:c r="F26" s="68"/>
      <x:c r="G26" s="68"/>
      <x:c r="H26" s="68"/>
    </x:row>
    <x:row r="27">
      <x:c r="A27" s="68"/>
      <x:c r="B27" s="68"/>
      <x:c r="C27" s="68"/>
      <x:c r="D27" s="68"/>
      <x:c r="E27" s="68"/>
      <x:c r="F27" s="68"/>
      <x:c r="G27" s="68"/>
      <x:c r="H27" s="68"/>
    </x:row>
  </x:sheetData>
  <x:mergeCells>
    <x:mergeCell ref="A1:H2"/>
    <x:mergeCell ref="D4:H4"/>
    <x:mergeCell ref="D5:H10"/>
    <x:mergeCell ref="D12:F12"/>
    <x:mergeCell ref="D13:F14"/>
    <x:mergeCell ref="A22:H22"/>
    <x:mergeCell ref="A23:H27"/>
  </x:mergeCells>
  <x:pageMargins left="0.7" right="0.7" top="0.75" bottom="0.75" header="0.3" footer="0.3"/>
  <x:drawing xmlns:r="http://schemas.openxmlformats.org/officeDocument/2006/relationships" r:id="R8a7bc3f9d37b4c34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4" hidden="0" customWidth="1"/>
    <x:col min="3" max="3" width="34" hidden="0" customWidth="1"/>
    <x:col min="4" max="4" width="12" hidden="0" customWidth="1"/>
    <x:col min="5" max="5" width="14" hidden="0" customWidth="1"/>
    <x:col min="6" max="6" width="9" hidden="0" customWidth="1"/>
    <x:col min="7" max="7" width="11" hidden="0" customWidth="1"/>
    <x:col min="8" max="8" width="22" hidden="0" customWidth="1"/>
    <x:col min="9" max="9" width="13" hidden="0" customWidth="1"/>
    <x:col min="10" max="10" width="13" hidden="0" customWidth="1"/>
    <x:col min="11" max="11" width="14" hidden="0" customWidth="1"/>
    <x:col min="12" max="12" width="46" hidden="0" customWidth="1"/>
    <x:col min="13" max="13" width="14" hidden="0" customWidth="1"/>
    <x:col min="14" max="14" width="11" hidden="0" customWidth="1"/>
    <x:col min="15" max="15" width="12" hidden="0" customWidth="1"/>
    <x:col min="16" max="16" width="32" hidden="0" customWidth="1"/>
    <x:col min="17" max="17" width="30" hidden="0" customWidth="1"/>
    <x:col min="18" max="18" width="44" hidden="0" customWidth="1"/>
    <x:col min="19" max="19" width="38" hidden="0" customWidth="1"/>
    <x:col min="20" max="20" width="38" hidden="0" customWidth="1"/>
  </x:cols>
  <x:sheetData>
    <x:row r="1">
      <x:c r="A1" s="6" t="str">
        <x:v>No</x:v>
      </x:c>
      <x:c r="B1" s="6" t="str">
        <x:v>層</x:v>
      </x:c>
      <x:c r="C1" s="6" t="str">
        <x:v>チャンネル</x:v>
      </x:c>
      <x:c r="D1" s="6" t="str">
        <x:v>登録者</x:v>
      </x:c>
      <x:c r="E1" s="6" t="str">
        <x:v>総再生</x:v>
      </x:c>
      <x:c r="F1" s="6" t="str">
        <x:v>動画数</x:v>
      </x:c>
      <x:c r="G1" s="6" t="str">
        <x:v>監査深度</x:v>
      </x:c>
      <x:c r="H1" s="6" t="str">
        <x:v>主形式</x:v>
      </x:c>
      <x:c r="I1" s="6" t="str">
        <x:v>直近頻度</x:v>
      </x:c>
      <x:c r="J1" s="6" t="str">
        <x:v>直近観測日</x:v>
      </x:c>
      <x:c r="K1" s="6" t="str">
        <x:v>直近/代表再生</x:v>
      </x:c>
      <x:c r="L1" s="6" t="str">
        <x:v>観測バズ動画</x:v>
      </x:c>
      <x:c r="M1" s="6" t="str">
        <x:v>バズ再生</x:v>
      </x:c>
      <x:c r="N1" s="6" t="str">
        <x:v>尺</x:v>
      </x:c>
      <x:c r="O1" s="6" t="str">
        <x:v>バズ/登録者</x:v>
      </x:c>
      <x:c r="P1" s="6" t="str">
        <x:v>勝ちタイトル型</x:v>
      </x:c>
      <x:c r="Q1" s="6" t="str">
        <x:v>サムネ型</x:v>
      </x:c>
      <x:c r="R1" s="6" t="str">
        <x:v>戦略メモ</x:v>
      </x:c>
      <x:c r="S1" s="6" t="str">
        <x:v>Source 1</x:v>
      </x:c>
      <x:c r="T1" s="6" t="str">
        <x:v>Source 2</x:v>
      </x:c>
    </x:row>
    <x:row r="2">
      <x:c r="A2" s="16" t="n">
        <x:v>1</x:v>
      </x:c>
      <x:c r="B2" s="16" t="str">
        <x:v>直接競合</x:v>
      </x:c>
      <x:c r="C2" s="16" t="str">
        <x:v>スマホのコンシェルジュ「株式会社コアコンシェル」</x:v>
      </x:c>
      <x:c r="D2" s="17" t="n">
        <x:v>581000</x:v>
      </x:c>
      <x:c r="E2" s="17" t="n">
        <x:v>111540000</x:v>
      </x:c>
      <x:c r="F2" s="17" t="n">
        <x:v>1209</x:v>
      </x:c>
      <x:c r="G2" s="16" t="str">
        <x:v>Deep</x:v>
      </x:c>
      <x:c r="H2" s="16" t="str">
        <x:v>長尺解説・実機/図解</x:v>
      </x:c>
      <x:c r="I2" s="16" t="str">
        <x:v>2〜3本/週</x:v>
      </x:c>
      <x:c r="J2" s="16" t="str">
        <x:v>2026-08-22</x:v>
      </x:c>
      <x:c r="K2" s="17" t="n">
        <x:v>10695</x:v>
      </x:c>
      <x:c r="L2" s="16" t="str">
        <x:v>Chromeの危険設定</x:v>
      </x:c>
      <x:c r="M2" s="17" t="n">
        <x:v>452184</x:v>
      </x:c>
      <x:c r="N2" s="16" t="str">
        <x:v>22:09</x:v>
      </x:c>
      <x:c r="O2" s="18" t="n">
        <x:f>IFERROR(M2/D2,"")</x:f>
        <x:v>0.7782857142857142</x:v>
      </x:c>
      <x:c r="P2" s="16" t="str">
        <x:v>危険/個人情報＋具体設定＋今すぐ確認</x:v>
      </x:c>
      <x:c r="Q2" s="16" t="str">
        <x:v>ロゴ＋大文字警告＋設定画面</x:v>
      </x:c>
      <x:c r="R2" s="16" t="str">
        <x:v>通常How-toより危険/変更テーマが突出。一次情報＋実機が基本。</x:v>
      </x:c>
      <x:c r="S2" s="16" t="str">
        <x:v>https://db.bitstar.tokyo/youtube/UCd0lXfZHpNsfLtOBPWHkV8g?content=posts</x:v>
      </x:c>
      <x:c r="T2" s="16" t="str">
        <x:v>https://www.youtube.com/watch?v=uiOnaxQ3yQg</x:v>
      </x:c>
    </x:row>
    <x:row r="3">
      <x:c r="A3" s="16" t="n">
        <x:v>2</x:v>
      </x:c>
      <x:c r="B3" s="16" t="str">
        <x:v>直接競合</x:v>
      </x:c>
      <x:c r="C3" s="16" t="str">
        <x:v>埼玉スマホ教室</x:v>
      </x:c>
      <x:c r="D3" s="17" t="n">
        <x:v>521000</x:v>
      </x:c>
      <x:c r="E3" s="17" t="n">
        <x:v>83430000</x:v>
      </x:c>
      <x:c r="F3" s="17" t="n">
        <x:v>364</x:v>
      </x:c>
      <x:c r="G3" s="16" t="str">
        <x:v>Deep</x:v>
      </x:c>
      <x:c r="H3" s="16" t="str">
        <x:v>長尺解説・実演</x:v>
      </x:c>
      <x:c r="I3" s="16" t="str">
        <x:v>2〜3本/週</x:v>
      </x:c>
      <x:c r="J3" s="16" t="str">
        <x:v>2026-08-27</x:v>
      </x:c>
      <x:c r="K3" s="17" t="n">
        <x:v>30185</x:v>
      </x:c>
      <x:c r="L3" s="16" t="str">
        <x:v>GoogleアプリとChromeアプリの決定的な違い</x:v>
      </x:c>
      <x:c r="M3" s="17" t="n">
        <x:v>4892947</x:v>
      </x:c>
      <x:c r="N3" s="16" t="str"/>
      <x:c r="O3" s="18" t="n">
        <x:f>IFERROR(M3/D3,"")</x:f>
        <x:v>9.391452975047985</x:v>
      </x:c>
      <x:c r="P3" s="16" t="str">
        <x:v>違い/誤解/真相＋身近なGoogle・LINE</x:v>
      </x:c>
      <x:c r="Q3" s="16" t="str">
        <x:v>強い一言＋ロゴ＋人物/指差し</x:v>
      </x:c>
      <x:c r="R3" s="16" t="str">
        <x:v>『便利』より誤解解消・違い・安全が強い。誤情報検証も武器。</x:v>
      </x:c>
      <x:c r="S3" s="16" t="str">
        <x:v>https://db.bitstar.tokyo/youtube/UCKeSbR4kQK4RAPsrLVKJjCQ?content=posts</x:v>
      </x:c>
      <x:c r="T3" s="16" t="str">
        <x:v>https://digitalcreators.jp/channel/ja/UCKeSbR4kQK4RAPsrLVKJjCQ/</x:v>
      </x:c>
    </x:row>
    <x:row r="4">
      <x:c r="A4" s="16" t="n">
        <x:v>3</x:v>
      </x:c>
      <x:c r="B4" s="16" t="str">
        <x:v>直接競合</x:v>
      </x:c>
      <x:c r="C4" s="16" t="str">
        <x:v>ゆきえのスマホ塾</x:v>
      </x:c>
      <x:c r="D4" s="17" t="n">
        <x:v>165000</x:v>
      </x:c>
      <x:c r="E4" s="17" t="n">
        <x:v>13160000</x:v>
      </x:c>
      <x:c r="F4" s="17" t="n">
        <x:v>36</x:v>
      </x:c>
      <x:c r="G4" s="16" t="str">
        <x:v>Deep</x:v>
      </x:c>
      <x:c r="H4" s="16" t="str">
        <x:v>中高年向け安心解説</x:v>
      </x:c>
      <x:c r="I4" s="16" t="str">
        <x:v>月3〜5本</x:v>
      </x:c>
      <x:c r="J4" s="16" t="str">
        <x:v>2026-08-25</x:v>
      </x:c>
      <x:c r="K4" s="17" t="n">
        <x:v>17945</x:v>
      </x:c>
      <x:c r="L4" s="16" t="str">
        <x:v>LINEで個人情報が抜かれてます！すぐに「これ」してください</x:v>
      </x:c>
      <x:c r="M4" s="17" t="n">
        <x:v>3875916</x:v>
      </x:c>
      <x:c r="N4" s="16" t="str"/>
      <x:c r="O4" s="18" t="n">
        <x:f>IFERROR(M4/D4,"")</x:f>
        <x:v>23.4904</x:v>
      </x:c>
      <x:c r="P4" s="16" t="str">
        <x:v>個人情報/乗っ取り＋『すぐ』『ココ』＋LINE</x:v>
      </x:c>
      <x:c r="Q4" s="16" t="str">
        <x:v>LINE/Googleロゴ＋赤系警告</x:v>
      </x:c>
      <x:c r="R4" s="16" t="str">
        <x:v>少投稿でも企画選定で伸びる。恐怖クリック型はコピー急増。</x:v>
      </x:c>
      <x:c r="S4" s="16" t="str">
        <x:v>https://youtube.hitoyasumikeijiban.org/?id=9410&amp;route=channel</x:v>
      </x:c>
      <x:c r="T4" s="16" t="str">
        <x:v>https://www.youtube.com/@yukie_smartphone</x:v>
      </x:c>
    </x:row>
    <x:row r="5">
      <x:c r="A5" s="16" t="n">
        <x:v>4</x:v>
      </x:c>
      <x:c r="B5" s="16" t="str">
        <x:v>直接競合</x:v>
      </x:c>
      <x:c r="C5" s="16" t="str">
        <x:v>まいの安心スマホ教室</x:v>
      </x:c>
      <x:c r="D5" s="17" t="n">
        <x:v>30400</x:v>
      </x:c>
      <x:c r="E5" s="17" t="n">
        <x:v>3032000</x:v>
      </x:c>
      <x:c r="F5" s="17" t="n">
        <x:v>23</x:v>
      </x:c>
      <x:c r="G5" s="16" t="str">
        <x:v>Deep</x:v>
      </x:c>
      <x:c r="H5" s="16" t="str">
        <x:v>安心/危険設定</x:v>
      </x:c>
      <x:c r="I5" s="16" t="str">
        <x:v>月4〜6本</x:v>
      </x:c>
      <x:c r="J5" s="16" t="str">
        <x:v>2026-08-24</x:v>
      </x:c>
      <x:c r="K5" s="17" t="n">
        <x:v>7265</x:v>
      </x:c>
      <x:c r="L5" s="16" t="str">
        <x:v>母が気づかず設定…LINE誤操作で高額請求…OFF</x:v>
      </x:c>
      <x:c r="M5" s="17" t="n">
        <x:v>944408</x:v>
      </x:c>
      <x:c r="N5" s="16" t="str"/>
      <x:c r="O5" s="18" t="n">
        <x:f>IFERROR(M5/D5,"")</x:f>
        <x:v>31.06605263157895</x:v>
      </x:c>
      <x:c r="P5" s="16" t="str">
        <x:v>家族/高額請求/LINE＋OFF</x:v>
      </x:c>
      <x:c r="Q5" s="16" t="str">
        <x:v>家族ストーリー＋LINE＋OFF</x:v>
      </x:c>
      <x:c r="R5" s="16" t="str">
        <x:v>小規模でも1本が登録者の30倍超。煽りフォーマットは混雑。</x:v>
      </x:c>
      <x:c r="S5" s="16" t="str">
        <x:v>https://db.bitstar.tokyo/youtube/UCiTFHLNaMA9jZKyyHT7TRjw?content=posts</x:v>
      </x:c>
      <x:c r="T5" s="16" t="str"/>
    </x:row>
    <x:row r="6">
      <x:c r="A6" s="16" t="n">
        <x:v>5</x:v>
      </x:c>
      <x:c r="B6" s="16" t="str">
        <x:v>直接競合</x:v>
      </x:c>
      <x:c r="C6" s="16" t="str">
        <x:v>吉祥寺スマホスクール</x:v>
      </x:c>
      <x:c r="D6" s="17" t="n">
        <x:v>194000</x:v>
      </x:c>
      <x:c r="E6" s="17" t="n">
        <x:v>27721000</x:v>
      </x:c>
      <x:c r="F6" s="17" t="n">
        <x:v>536</x:v>
      </x:c>
      <x:c r="G6" s="16" t="str">
        <x:v>Deep</x:v>
      </x:c>
      <x:c r="H6" s="16" t="str">
        <x:v>長尺How-to・スマホ教室</x:v>
      </x:c>
      <x:c r="I6" s="16" t="str">
        <x:v>月12〜15本</x:v>
      </x:c>
      <x:c r="J6" s="16" t="str">
        <x:v>2026-08-17</x:v>
      </x:c>
      <x:c r="K6" s="17" t="n">
        <x:v>2822</x:v>
      </x:c>
      <x:c r="L6" s="16" t="str">
        <x:v>スマホのマークいくつ分かる？</x:v>
      </x:c>
      <x:c r="M6" s="17" t="n">
        <x:v>2276936</x:v>
      </x:c>
      <x:c r="N6" s="16" t="str"/>
      <x:c r="O6" s="18" t="n">
        <x:f>IFERROR(M6/D6,"")</x:f>
        <x:v>11.736783505154639</x:v>
      </x:c>
      <x:c r="P6" s="16" t="str">
        <x:v>初心者の『知らない』を自己診断化</x:v>
      </x:c>
      <x:c r="Q6" s="16" t="str">
        <x:v>アイコン複数＋疑問形</x:v>
      </x:c>
      <x:c r="R6" s="16" t="str">
        <x:v>検索How-toは安定、ブラウズ爆発はクイズ/自己診断型。</x:v>
      </x:c>
      <x:c r="S6" s="16" t="str">
        <x:v>https://digitalcreators.jp/channel/ja/UC4V6nX77AYklcVdMIHotOyQ/</x:v>
      </x:c>
      <x:c r="T6" s="16" t="str"/>
    </x:row>
    <x:row r="7">
      <x:c r="A7" s="16" t="n">
        <x:v>6</x:v>
      </x:c>
      <x:c r="B7" s="16" t="str">
        <x:v>直接競合</x:v>
      </x:c>
      <x:c r="C7" s="16" t="str">
        <x:v>ひろっさんチャンネル〜中高年のためのスマホ生活</x:v>
      </x:c>
      <x:c r="D7" s="17" t="n">
        <x:v>124000</x:v>
      </x:c>
      <x:c r="E7" s="17" t="n">
        <x:v>13480000</x:v>
      </x:c>
      <x:c r="F7" s="17" t="n">
        <x:v>241</x:v>
      </x:c>
      <x:c r="G7" s="16" t="str">
        <x:v>Deep</x:v>
      </x:c>
      <x:c r="H7" s="16" t="str">
        <x:v>中高年向け長尺</x:v>
      </x:c>
      <x:c r="I7" s="16" t="str">
        <x:v>週1〜2本</x:v>
      </x:c>
      <x:c r="J7" s="16" t="str">
        <x:v>2026-08-25</x:v>
      </x:c>
      <x:c r="K7" s="17" t="n">
        <x:v>30987</x:v>
      </x:c>
      <x:c r="L7" s="16" t="str">
        <x:v>2024 iPhone危険設定15+1</x:v>
      </x:c>
      <x:c r="M7" s="17" t="n">
        <x:v>1411051</x:v>
      </x:c>
      <x:c r="N7" s="16" t="str"/>
      <x:c r="O7" s="18" t="n">
        <x:f>IFERROR(M7/D7,"")</x:f>
        <x:v>11.379443548387096</x:v>
      </x:c>
      <x:c r="P7" s="16" t="str">
        <x:v>年版＋危険設定＋数字</x:v>
      </x:c>
      <x:c r="Q7" s="16" t="str">
        <x:v>端末＋赤/黄注意語＋数字</x:v>
      </x:c>
      <x:c r="R7" s="16" t="str">
        <x:v>長い一般リストは不発例も。尺より企画密度。</x:v>
      </x:c>
      <x:c r="S7" s="16" t="str">
        <x:v>https://yutura.net/channel/140516/</x:v>
      </x:c>
      <x:c r="T7" s="16" t="str"/>
    </x:row>
    <x:row r="8">
      <x:c r="A8" s="16" t="n">
        <x:v>7</x:v>
      </x:c>
      <x:c r="B8" s="16" t="str">
        <x:v>直接競合</x:v>
      </x:c>
      <x:c r="C8" s="16" t="str">
        <x:v>シニア世代のためのスマホ入門講座</x:v>
      </x:c>
      <x:c r="D8" s="17" t="n">
        <x:v>29100</x:v>
      </x:c>
      <x:c r="E8" s="17" t="n">
        <x:v>3220000</x:v>
      </x:c>
      <x:c r="F8" s="17" t="n">
        <x:v>68</x:v>
      </x:c>
      <x:c r="G8" s="16" t="str">
        <x:v>Deep</x:v>
      </x:c>
      <x:c r="H8" s="16" t="str">
        <x:v>超丁寧・検索How-to</x:v>
      </x:c>
      <x:c r="I8" s="16" t="str">
        <x:v>月0〜2本</x:v>
      </x:c>
      <x:c r="J8" s="16" t="str">
        <x:v>2026-06-27</x:v>
      </x:c>
      <x:c r="K8" s="17" t="n">
        <x:v>1329</x:v>
      </x:c>
      <x:c r="L8" s="16" t="str">
        <x:v>Android版 LINE完全ガイド</x:v>
      </x:c>
      <x:c r="M8" s="17" t="n">
        <x:v>142532</x:v>
      </x:c>
      <x:c r="N8" s="16" t="str">
        <x:v>50:15+</x:v>
      </x:c>
      <x:c r="O8" s="18" t="n">
        <x:f>IFERROR(M8/D8,"")</x:f>
        <x:v>4.898006872852234</x:v>
      </x:c>
      <x:c r="P8" s="16" t="str">
        <x:v>完全ガイド＋初心者検索</x:v>
      </x:c>
      <x:c r="Q8" s="16" t="str">
        <x:v>ロゴ＋完全ガイド＋初心者</x:v>
      </x:c>
      <x:c r="R8" s="16" t="str">
        <x:v>検索資産にはなるが、初期ブラウズ狙いには長すぎる。</x:v>
      </x:c>
      <x:c r="S8" s="16" t="str">
        <x:v>https://yutura.net/channel/92066/latest/</x:v>
      </x:c>
      <x:c r="T8" s="16" t="str">
        <x:v>https://yutura.net/channel/92066/</x:v>
      </x:c>
    </x:row>
    <x:row r="9">
      <x:c r="A9" s="16" t="n">
        <x:v>8</x:v>
      </x:c>
      <x:c r="B9" s="16" t="str">
        <x:v>直接競合</x:v>
      </x:c>
      <x:c r="C9" s="16" t="str">
        <x:v>あっちゃん教えて</x:v>
      </x:c>
      <x:c r="D9" s="17" t="n">
        <x:v>56600</x:v>
      </x:c>
      <x:c r="E9" s="17" t="n">
        <x:v>7143000</x:v>
      </x:c>
      <x:c r="F9" s="17" t="n">
        <x:v>289</x:v>
      </x:c>
      <x:c r="G9" s="16" t="str">
        <x:v>Deep</x:v>
      </x:c>
      <x:c r="H9" s="16" t="str">
        <x:v>iPhone/Google初心者</x:v>
      </x:c>
      <x:c r="I9" s="16" t="str">
        <x:v>月4本前後</x:v>
      </x:c>
      <x:c r="J9" s="16" t="str">
        <x:v>2026-08-01</x:v>
      </x:c>
      <x:c r="K9" s="17" t="n">
        <x:v>1385</x:v>
      </x:c>
      <x:c r="L9" s="16" t="str">
        <x:v>iPhoneストレージ/キャッシュ整理</x:v>
      </x:c>
      <x:c r="M9" s="17" t="n">
        <x:v>132190</x:v>
      </x:c>
      <x:c r="N9" s="16" t="str">
        <x:v>17:50</x:v>
      </x:c>
      <x:c r="O9" s="18" t="n">
        <x:f>IFERROR(M9/D9,"")</x:f>
        <x:v>2.335512367491166</x:v>
      </x:c>
      <x:c r="P9" s="16" t="str">
        <x:v>容量不足/困りごと＋安全な解消</x:v>
      </x:c>
      <x:c r="Q9" s="16" t="str">
        <x:v>端末画面＋容量表示</x:v>
      </x:c>
      <x:c r="R9" s="16" t="str">
        <x:v>自分事化テーマが強く、単なる新機能紹介は弱い。</x:v>
      </x:c>
      <x:c r="S9" s="16" t="str">
        <x:v>https://digitalcreators.jp/channel/UCds0nELWhAGEyQ93vsaeCAA/</x:v>
      </x:c>
      <x:c r="T9" s="16" t="str"/>
    </x:row>
    <x:row r="10">
      <x:c r="A10" s="16" t="n">
        <x:v>9</x:v>
      </x:c>
      <x:c r="B10" s="16" t="str">
        <x:v>直接競合</x:v>
      </x:c>
      <x:c r="C10" s="16" t="str">
        <x:v>スマホ超入門！</x:v>
      </x:c>
      <x:c r="D10" s="17" t="n">
        <x:v>17800</x:v>
      </x:c>
      <x:c r="E10" s="17" t="n">
        <x:v>2113600</x:v>
      </x:c>
      <x:c r="F10" s="17" t="n">
        <x:v>150</x:v>
      </x:c>
      <x:c r="G10" s="16" t="str">
        <x:v>Deep</x:v>
      </x:c>
      <x:c r="H10" s="16" t="str">
        <x:v>初心者How-to・時事連動</x:v>
      </x:c>
      <x:c r="I10" s="16" t="str">
        <x:v>不定期</x:v>
      </x:c>
      <x:c r="J10" s="16" t="str">
        <x:v>2026-03</x:v>
      </x:c>
      <x:c r="K10" s="17" t="n">
        <x:v>92000</x:v>
      </x:c>
      <x:c r="L10" s="16" t="str">
        <x:v>WBCをスマホで見る方法</x:v>
      </x:c>
      <x:c r="M10" s="17" t="n">
        <x:v>104576</x:v>
      </x:c>
      <x:c r="N10" s="16" t="str"/>
      <x:c r="O10" s="18" t="n">
        <x:f>IFERROR(M10/D10,"")</x:f>
        <x:v>5.875056179775281</x:v>
      </x:c>
      <x:c r="P10" s="16" t="str">
        <x:v>大型イベント＋今すぐ必要な操作</x:v>
      </x:c>
      <x:c r="Q10" s="16" t="str">
        <x:v>イベント名＋スマホ＋見る方法</x:v>
      </x:c>
      <x:c r="R10" s="16" t="str">
        <x:v>『現実イベント×デジタル』は一般How-toより大きく跳ねる。</x:v>
      </x:c>
      <x:c r="S10" s="16" t="str">
        <x:v>https://yutura.net/channel/93400/</x:v>
      </x:c>
      <x:c r="T10" s="16" t="str"/>
    </x:row>
    <x:row r="11">
      <x:c r="A11" s="16" t="n">
        <x:v>10</x:v>
      </x:c>
      <x:c r="B11" s="16" t="str">
        <x:v>直接競合</x:v>
      </x:c>
      <x:c r="C11" s="16" t="str">
        <x:v>いっしょに学ぶスマホ塾</x:v>
      </x:c>
      <x:c r="D11" s="17" t="n">
        <x:v>16300</x:v>
      </x:c>
      <x:c r="E11" s="17" t="n">
        <x:v>1381000</x:v>
      </x:c>
      <x:c r="F11" s="17" t="n">
        <x:v>7</x:v>
      </x:c>
      <x:c r="G11" s="16" t="str">
        <x:v>Deep</x:v>
      </x:c>
      <x:c r="H11" s="16" t="str">
        <x:v>少数精鋭・具体機能</x:v>
      </x:c>
      <x:c r="I11" s="16" t="str">
        <x:v>不定期</x:v>
      </x:c>
      <x:c r="J11" s="16" t="str">
        <x:v>2026-07</x:v>
      </x:c>
      <x:c r="K11" s="17" t="n">
        <x:v>1212928</x:v>
      </x:c>
      <x:c r="L11" s="16" t="str">
        <x:v>iPhoneの“秘密の証拠”を残す方法</x:v>
      </x:c>
      <x:c r="M11" s="17" t="n">
        <x:v>1212928</x:v>
      </x:c>
      <x:c r="N11" s="16" t="str">
        <x:v>08:40</x:v>
      </x:c>
      <x:c r="O11" s="18" t="n">
        <x:f>IFERROR(M11/D11,"")</x:f>
        <x:v>74.41276073619632</x:v>
      </x:c>
      <x:c r="P11" s="16" t="str">
        <x:v>驚きの具体機能＋利用場面</x:v>
      </x:c>
      <x:c r="Q11" s="16" t="str">
        <x:v>端末＋秘密/証拠など1語</x:v>
      </x:c>
      <x:c r="R11" s="16" t="str">
        <x:v>数本でも用途が刺されば100万。安全以外の驚き便利も必要。</x:v>
      </x:c>
      <x:c r="S11" s="16" t="str">
        <x:v>https://digitalcreators.jp/channel/UCyz5xq1mYBls-wNnfI1Itcw/videos/</x:v>
      </x:c>
      <x:c r="T11" s="16" t="str"/>
    </x:row>
    <x:row r="12">
      <x:c r="A12" s="16" t="n">
        <x:v>11</x:v>
      </x:c>
      <x:c r="B12" s="16" t="str">
        <x:v>直接競合</x:v>
      </x:c>
      <x:c r="C12" s="16" t="str">
        <x:v>Pixelスマホの使い方 - Pixel lab</x:v>
      </x:c>
      <x:c r="D12" s="17" t="n">
        <x:v>25800</x:v>
      </x:c>
      <x:c r="E12" s="17" t="n">
        <x:v>3063300</x:v>
      </x:c>
      <x:c r="F12" s="17" t="n">
        <x:v>215</x:v>
      </x:c>
      <x:c r="G12" s="16" t="str">
        <x:v>Deep</x:v>
      </x:c>
      <x:c r="H12" s="16" t="str">
        <x:v>Pixel特化How-to</x:v>
      </x:c>
      <x:c r="I12" s="16" t="str">
        <x:v>月3〜6本</x:v>
      </x:c>
      <x:c r="J12" s="16" t="str">
        <x:v>2026-08-15</x:v>
      </x:c>
      <x:c r="K12" s="17" t="n">
        <x:v>2369</x:v>
      </x:c>
      <x:c r="L12" s="16" t="str">
        <x:v>Pixelのおすすめ設定15選</x:v>
      </x:c>
      <x:c r="M12" s="17" t="n">
        <x:v>92403</x:v>
      </x:c>
      <x:c r="N12" s="16" t="str"/>
      <x:c r="O12" s="18" t="n">
        <x:f>IFERROR(M12/D12,"")</x:f>
        <x:v>3.5815116279069765</x:v>
      </x:c>
      <x:c r="P12" s="16" t="str">
        <x:v>端末特化＋設定まとめ</x:v>
      </x:c>
      <x:c r="Q12" s="16" t="str">
        <x:v>Pixel＋設定画面＋数字</x:v>
      </x:c>
      <x:c r="R12" s="16" t="str">
        <x:v>端末特化は検索に強いが母数限定。iPhone/Android両対応が有利。</x:v>
      </x:c>
      <x:c r="S12" s="16" t="str">
        <x:v>https://yutura.net/tag/1180/</x:v>
      </x:c>
      <x:c r="T12" s="16" t="str"/>
    </x:row>
    <x:row r="13">
      <x:c r="A13" s="16" t="n">
        <x:v>12</x:v>
      </x:c>
      <x:c r="B13" s="16" t="str">
        <x:v>直接競合</x:v>
      </x:c>
      <x:c r="C13" s="16" t="str">
        <x:v>Android・iPhone使い方教室 - webmobile</x:v>
      </x:c>
      <x:c r="D13" s="17" t="n">
        <x:v>6870</x:v>
      </x:c>
      <x:c r="E13" s="17" t="n">
        <x:v>4970288</x:v>
      </x:c>
      <x:c r="F13" s="17" t="n">
        <x:v>431</x:v>
      </x:c>
      <x:c r="G13" s="16" t="str">
        <x:v>Deep</x:v>
      </x:c>
      <x:c r="H13" s="16" t="str">
        <x:v>ミドル/シニア・実機How-to</x:v>
      </x:c>
      <x:c r="I13" s="16" t="str">
        <x:v>高頻度</x:v>
      </x:c>
      <x:c r="J13" s="16" t="str"/>
      <x:c r="K13" s="17" t="n">
        <x:v>21464</x:v>
      </x:c>
      <x:c r="L13" s="16" t="str">
        <x:v>Rakuten WiFi Pocket 実機レビュー/接続</x:v>
      </x:c>
      <x:c r="M13" s="17" t="n">
        <x:v>21464</x:v>
      </x:c>
      <x:c r="N13" s="16" t="str">
        <x:v>約06:00</x:v>
      </x:c>
      <x:c r="O13" s="18" t="n">
        <x:f>IFERROR(M13/D13,"")</x:f>
        <x:v>3.1243085880640464</x:v>
      </x:c>
      <x:c r="P13" s="16" t="str">
        <x:v>実機＋手順＋具体製品</x:v>
      </x:c>
      <x:c r="Q13" s="16" t="str">
        <x:v>実機画面中心＋工程</x:v>
      </x:c>
      <x:c r="R13" s="16" t="str">
        <x:v>自前画面録画は独自性。AI制作でも実機を核にすると強い。</x:v>
      </x:c>
      <x:c r="S13" s="16" t="str">
        <x:v>https://www.youtube.com/@webmobilejp</x:v>
      </x:c>
      <x:c r="T13" s="16" t="str"/>
    </x:row>
    <x:row r="14">
      <x:c r="A14" s="16" t="n">
        <x:v>13</x:v>
      </x:c>
      <x:c r="B14" s="16" t="str">
        <x:v>隣接競合</x:v>
      </x:c>
      <x:c r="C14" s="16" t="str">
        <x:v>おくつスマホ教室</x:v>
      </x:c>
      <x:c r="D14" s="17" t="n">
        <x:v>31300</x:v>
      </x:c>
      <x:c r="E14" s="17" t="n">
        <x:v>40819000</x:v>
      </x:c>
      <x:c r="F14" s="17" t="n">
        <x:v>1210</x:v>
      </x:c>
      <x:c r="G14" s="16" t="str">
        <x:v>Deep</x:v>
      </x:c>
      <x:c r="H14" s="16" t="str">
        <x:v>Shorts中心＋端末ランキング</x:v>
      </x:c>
      <x:c r="I14" s="16" t="str">
        <x:v>ほぼ毎日</x:v>
      </x:c>
      <x:c r="J14" s="16" t="str">
        <x:v>2026-08-27</x:v>
      </x:c>
      <x:c r="K14" s="17" t="n">
        <x:v>6770</x:v>
      </x:c>
      <x:c r="L14" s="16" t="str">
        <x:v>今買うべきスマホTOP5</x:v>
      </x:c>
      <x:c r="M14" s="17" t="n">
        <x:v>36775</x:v>
      </x:c>
      <x:c r="N14" s="16" t="str">
        <x:v>&lt;1:00</x:v>
      </x:c>
      <x:c r="O14" s="18" t="n">
        <x:f>IFERROR(M14/D14,"")</x:f>
        <x:v>1.1749201277955272</x:v>
      </x:c>
      <x:c r="P14" s="16" t="str">
        <x:v>ランキング＋買う/買わない＋時期</x:v>
      </x:c>
      <x:c r="Q14" s="16" t="str">
        <x:v>数字TOP＋端末写真</x:v>
      </x:c>
      <x:c r="R14" s="16" t="str">
        <x:v>Shortsの入口設計は参考。長尺から再編集で十分。</x:v>
      </x:c>
      <x:c r="S14" s="16" t="str">
        <x:v>https://db.bitstar.tokyo/youtube/UCmCcGR-UwWMK5q6SJNmh-LA?content=posts</x:v>
      </x:c>
      <x:c r="T14" s="16" t="str"/>
    </x:row>
    <x:row r="15">
      <x:c r="A15" s="16" t="n">
        <x:v>14</x:v>
      </x:c>
      <x:c r="B15" s="16" t="str">
        <x:v>隣接競合</x:v>
      </x:c>
      <x:c r="C15" s="16" t="str">
        <x:v>モバイルドットコムTV</x:v>
      </x:c>
      <x:c r="D15" s="17" t="n">
        <x:v>175000</x:v>
      </x:c>
      <x:c r="E15" s="17" t="n">
        <x:v>68218000</x:v>
      </x:c>
      <x:c r="F15" s="17" t="n">
        <x:v>878</x:v>
      </x:c>
      <x:c r="G15" s="16" t="str">
        <x:v>Deep</x:v>
      </x:c>
      <x:c r="H15" s="16" t="str">
        <x:v>端末レビュー・長尺</x:v>
      </x:c>
      <x:c r="I15" s="16" t="str">
        <x:v>月8本前後</x:v>
      </x:c>
      <x:c r="J15" s="16" t="str">
        <x:v>2026-08-25</x:v>
      </x:c>
      <x:c r="K15" s="17" t="n">
        <x:v>33702</x:v>
      </x:c>
      <x:c r="L15" s="16" t="str">
        <x:v>Androidでやってはいけない設定7選</x:v>
      </x:c>
      <x:c r="M15" s="17" t="n">
        <x:v>2316867</x:v>
      </x:c>
      <x:c r="N15" s="16" t="str"/>
      <x:c r="O15" s="18" t="n">
        <x:f>IFERROR(M15/D15,"")</x:f>
        <x:v>13.23924</x:v>
      </x:c>
      <x:c r="P15" s="16" t="str">
        <x:v>Android＋やってはいけない＋数字</x:v>
      </x:c>
      <x:c r="Q15" s="16" t="str">
        <x:v>端末＋危険語＋数字</x:v>
      </x:c>
      <x:c r="R15" s="16" t="str">
        <x:v>レビュー専門でも防衛テーマが最大級。横断需要の証拠。</x:v>
      </x:c>
      <x:c r="S15" s="16" t="str">
        <x:v>https://digitalcreators.jp/channel/ja/UC-gVzqx-OqiA7YMx4yRkY8g/</x:v>
      </x:c>
      <x:c r="T15" s="16" t="str"/>
    </x:row>
    <x:row r="16">
      <x:c r="A16" s="16" t="n">
        <x:v>15</x:v>
      </x:c>
      <x:c r="B16" s="16" t="str">
        <x:v>隣接競合</x:v>
      </x:c>
      <x:c r="C16" s="16" t="str">
        <x:v>なおたろ【パソコン&amp;スマホ便利術】</x:v>
      </x:c>
      <x:c r="D16" s="17" t="n">
        <x:v>809000</x:v>
      </x:c>
      <x:c r="E16" s="17" t="n">
        <x:v>279434075</x:v>
      </x:c>
      <x:c r="F16" s="17" t="n">
        <x:v>645</x:v>
      </x:c>
      <x:c r="G16" s="16" t="str">
        <x:v>Deep</x:v>
      </x:c>
      <x:c r="H16" s="16" t="str">
        <x:v>Shorts中心・PC/スマホ</x:v>
      </x:c>
      <x:c r="I16" s="16" t="str">
        <x:v>高頻度</x:v>
      </x:c>
      <x:c r="J16" s="16" t="str">
        <x:v>2026-08-14</x:v>
      </x:c>
      <x:c r="K16" s="17" t="n">
        <x:v>54516</x:v>
      </x:c>
      <x:c r="L16" s="16" t="str">
        <x:v>Wordで上付き文字、下付き文字を入力する方法</x:v>
      </x:c>
      <x:c r="M16" s="17" t="n">
        <x:v>10727462</x:v>
      </x:c>
      <x:c r="N16" s="16" t="str">
        <x:v>00:13</x:v>
      </x:c>
      <x:c r="O16" s="18" t="n">
        <x:f>IFERROR(M16/D16,"")</x:f>
        <x:v>13.260150803461062</x:v>
      </x:c>
      <x:c r="P16" s="16" t="str">
        <x:v>1機能1メリット＋超短尺</x:v>
      </x:c>
      <x:c r="Q16" s="16" t="str">
        <x:v>画面＋大きな短文</x:v>
      </x:c>
      <x:c r="R16" s="16" t="str">
        <x:v>Shortsは発見獲得用。長尺から1設定だけ切り出す。</x:v>
      </x:c>
      <x:c r="S16" s="16" t="str">
        <x:v>https://digitalcreators.jp/channel/ja/UCanLQb41iFMmOEzas1LbjHA/videos/</x:v>
      </x:c>
      <x:c r="T16" s="16" t="str"/>
    </x:row>
    <x:row r="17">
      <x:c r="A17" s="16" t="n">
        <x:v>16</x:v>
      </x:c>
      <x:c r="B17" s="16" t="str">
        <x:v>隣接競合</x:v>
      </x:c>
      <x:c r="C17" s="16" t="str">
        <x:v>スマオタ</x:v>
      </x:c>
      <x:c r="D17" s="17" t="n">
        <x:v>105000</x:v>
      </x:c>
      <x:c r="E17" s="17" t="n">
        <x:v>17046907</x:v>
      </x:c>
      <x:c r="F17" s="17" t="n">
        <x:v>38</x:v>
      </x:c>
      <x:c r="G17" s="16" t="str">
        <x:v>Deep+</x:v>
      </x:c>
      <x:c r="H17" s="16" t="str">
        <x:v>スマホ安全/設定・長尺</x:v>
      </x:c>
      <x:c r="I17" s="16" t="str">
        <x:v>月5本前後</x:v>
      </x:c>
      <x:c r="J17" s="16" t="str">
        <x:v>2026-08-24</x:v>
      </x:c>
      <x:c r="K17" s="17" t="n">
        <x:v>9502</x:v>
      </x:c>
      <x:c r="L17" s="16" t="str">
        <x:v>Googleバックアップルール変更</x:v>
      </x:c>
      <x:c r="M17" s="17" t="n">
        <x:v>168247</x:v>
      </x:c>
      <x:c r="N17" s="16" t="str">
        <x:v>10:08</x:v>
      </x:c>
      <x:c r="O17" s="18" t="n">
        <x:f>IFERROR(M17/D17,"")</x:f>
        <x:v>1.602352380952381</x:v>
      </x:c>
      <x:c r="P17" s="16" t="str">
        <x:v>変更/損失/詐欺＋今すぐ確認</x:v>
      </x:c>
      <x:c r="Q17" s="16" t="str">
        <x:v>ロゴ＋警告語＋OFF/削除</x:v>
      </x:c>
      <x:c r="R17" s="16" t="str">
        <x:v>11.4万人。直近でもGoogleバックアップ16.8万、LINE詐欺23万級。一方、同じ強い煽り構文でも1万未満があり、文言だけでは再現しない。</x:v>
      </x:c>
      <x:c r="S17" s="16" t="str">
        <x:v>https://yutura.net/tag/1180/</x:v>
      </x:c>
      <x:c r="T17" s="16" t="str"/>
    </x:row>
    <x:row r="18">
      <x:c r="A18" s="16" t="n">
        <x:v>17</x:v>
      </x:c>
      <x:c r="B18" s="16" t="str">
        <x:v>隣接競合</x:v>
      </x:c>
      <x:c r="C18" s="16" t="str">
        <x:v>どろいど 迷ケータイの人</x:v>
      </x:c>
      <x:c r="D18" s="17" t="n">
        <x:v>62100</x:v>
      </x:c>
      <x:c r="E18" s="17" t="n">
        <x:v>6575892</x:v>
      </x:c>
      <x:c r="F18" s="17" t="n">
        <x:v>44</x:v>
      </x:c>
      <x:c r="G18" s="16" t="str">
        <x:v>Landscape</x:v>
      </x:c>
      <x:c r="H18" s="16" t="str">
        <x:v>スマホ/ガジェット</x:v>
      </x:c>
      <x:c r="I18" s="16" t="str"/>
      <x:c r="J18" s="16" t="str"/>
      <x:c r="K18" s="17" t="str"/>
      <x:c r="L18" s="16" t="str"/>
      <x:c r="M18" s="17" t="n">
        <x:v>0</x:v>
      </x:c>
      <x:c r="N18" s="16" t="str"/>
      <x:c r="O18" s="18" t="n">
        <x:f>IFERROR(M18/D18,"")</x:f>
        <x:v>0</x:v>
      </x:c>
      <x:c r="P18" s="16" t="str"/>
      <x:c r="Q18" s="16" t="str"/>
      <x:c r="R18" s="16" t="str">
        <x:v>市場マップ用。タイトル語彙・テーマを継続監視。</x:v>
      </x:c>
      <x:c r="S18" s="16" t="str">
        <x:v>https://yutura.net/tag/1180/</x:v>
      </x:c>
      <x:c r="T18" s="16" t="str"/>
    </x:row>
    <x:row r="19">
      <x:c r="A19" s="16" t="n">
        <x:v>18</x:v>
      </x:c>
      <x:c r="B19" s="16" t="str">
        <x:v>隣接競合</x:v>
      </x:c>
      <x:c r="C19" s="16" t="str">
        <x:v>すまきっちゃん超</x:v>
      </x:c>
      <x:c r="D19" s="17" t="n">
        <x:v>54200</x:v>
      </x:c>
      <x:c r="E19" s="17" t="n">
        <x:v>21077785</x:v>
      </x:c>
      <x:c r="F19" s="17" t="n">
        <x:v>93</x:v>
      </x:c>
      <x:c r="G19" s="16" t="str">
        <x:v>Landscape</x:v>
      </x:c>
      <x:c r="H19" s="16" t="str">
        <x:v>スマホ/通信</x:v>
      </x:c>
      <x:c r="I19" s="16" t="str"/>
      <x:c r="J19" s="16" t="str"/>
      <x:c r="K19" s="17" t="str"/>
      <x:c r="L19" s="16" t="str"/>
      <x:c r="M19" s="17" t="n">
        <x:v>0</x:v>
      </x:c>
      <x:c r="N19" s="16" t="str"/>
      <x:c r="O19" s="18" t="n">
        <x:f>IFERROR(M19/D19,"")</x:f>
        <x:v>0</x:v>
      </x:c>
      <x:c r="P19" s="16" t="str"/>
      <x:c r="Q19" s="16" t="str"/>
      <x:c r="R19" s="16" t="str">
        <x:v>市場マップ用。タイトル語彙・テーマを継続監視。</x:v>
      </x:c>
      <x:c r="S19" s="16" t="str">
        <x:v>https://yutura.net/tag/1180/</x:v>
      </x:c>
      <x:c r="T19" s="16" t="str"/>
    </x:row>
    <x:row r="20">
      <x:c r="A20" s="16" t="n">
        <x:v>19</x:v>
      </x:c>
      <x:c r="B20" s="16" t="str">
        <x:v>隣接競合</x:v>
      </x:c>
      <x:c r="C20" s="16" t="str">
        <x:v>スマキンロイド【Smakinroid】</x:v>
      </x:c>
      <x:c r="D20" s="17" t="n">
        <x:v>49500</x:v>
      </x:c>
      <x:c r="E20" s="17" t="n">
        <x:v>9370252</x:v>
      </x:c>
      <x:c r="F20" s="17" t="n">
        <x:v>64</x:v>
      </x:c>
      <x:c r="G20" s="16" t="str">
        <x:v>Deep+</x:v>
      </x:c>
      <x:c r="H20" s="16" t="str">
        <x:v>Android How-to・長尺</x:v>
      </x:c>
      <x:c r="I20" s="16" t="str">
        <x:v>低頻度</x:v>
      </x:c>
      <x:c r="J20" s="16" t="str">
        <x:v>2026-06-24</x:v>
      </x:c>
      <x:c r="K20" s="17" t="n">
        <x:v>269905</x:v>
      </x:c>
      <x:c r="L20" s="16" t="str">
        <x:v>Androidスマホで押してはいけないボタン5選</x:v>
      </x:c>
      <x:c r="M20" s="17" t="n">
        <x:v>269905</x:v>
      </x:c>
      <x:c r="N20" s="16" t="str">
        <x:v>10:08</x:v>
      </x:c>
      <x:c r="O20" s="18" t="n">
        <x:f>IFERROR(M20/D20,"")</x:f>
        <x:v>5.4526262626262625</x:v>
      </x:c>
      <x:c r="P20" s="16" t="str">
        <x:v>Android＋知らないと怖い＋具体数字</x:v>
      </x:c>
      <x:c r="Q20" s="16" t="str">
        <x:v>Android画面＋短い危険語＋数字</x:v>
      </x:c>
      <x:c r="R20" s="16" t="str">
        <x:v>4.7万人。危険設定26.9万に対しOTP手順1.4万。過去にはQRコード168万、プライバシー143万。『危険』だけでなく具体用途・誤解解消も強い。</x:v>
      </x:c>
      <x:c r="S20" s="16" t="str">
        <x:v>https://yutura.net/tag/1180/</x:v>
      </x:c>
      <x:c r="T20" s="16" t="str"/>
    </x:row>
    <x:row r="21">
      <x:c r="A21" s="16" t="n">
        <x:v>20</x:v>
      </x:c>
      <x:c r="B21" s="16" t="str">
        <x:v>隣接競合</x:v>
      </x:c>
      <x:c r="C21" s="16" t="str">
        <x:v>ドコモラボチャンネル</x:v>
      </x:c>
      <x:c r="D21" s="17" t="n">
        <x:v>26000</x:v>
      </x:c>
      <x:c r="E21" s="17" t="n">
        <x:v>6357690</x:v>
      </x:c>
      <x:c r="F21" s="17" t="n">
        <x:v>142</x:v>
      </x:c>
      <x:c r="G21" s="16" t="str">
        <x:v>Landscape</x:v>
      </x:c>
      <x:c r="H21" s="16" t="str">
        <x:v>キャリア/端末</x:v>
      </x:c>
      <x:c r="I21" s="16" t="str"/>
      <x:c r="J21" s="16" t="str"/>
      <x:c r="K21" s="17" t="str"/>
      <x:c r="L21" s="16" t="str"/>
      <x:c r="M21" s="17" t="n">
        <x:v>0</x:v>
      </x:c>
      <x:c r="N21" s="16" t="str"/>
      <x:c r="O21" s="18" t="n">
        <x:f>IFERROR(M21/D21,"")</x:f>
        <x:v>0</x:v>
      </x:c>
      <x:c r="P21" s="16" t="str"/>
      <x:c r="Q21" s="16" t="str"/>
      <x:c r="R21" s="16" t="str">
        <x:v>市場マップ用。タイトル語彙・テーマを継続監視。</x:v>
      </x:c>
      <x:c r="S21" s="16" t="str">
        <x:v>https://yutura.net/tag/1180/</x:v>
      </x:c>
      <x:c r="T21" s="16" t="str"/>
    </x:row>
    <x:row r="22">
      <x:c r="A22" s="16" t="n">
        <x:v>21</x:v>
      </x:c>
      <x:c r="B22" s="16" t="str">
        <x:v>隣接競合</x:v>
      </x:c>
      <x:c r="C22" s="16" t="str">
        <x:v>ゆっくりIT 飯田橋製作所</x:v>
      </x:c>
      <x:c r="D22" s="17" t="n">
        <x:v>17200</x:v>
      </x:c>
      <x:c r="E22" s="17" t="n">
        <x:v>4208917</x:v>
      </x:c>
      <x:c r="F22" s="17" t="n">
        <x:v>90</x:v>
      </x:c>
      <x:c r="G22" s="16" t="str">
        <x:v>Landscape</x:v>
      </x:c>
      <x:c r="H22" s="16" t="str">
        <x:v>IT解説</x:v>
      </x:c>
      <x:c r="I22" s="16" t="str"/>
      <x:c r="J22" s="16" t="str"/>
      <x:c r="K22" s="17" t="str"/>
      <x:c r="L22" s="16" t="str"/>
      <x:c r="M22" s="17" t="n">
        <x:v>0</x:v>
      </x:c>
      <x:c r="N22" s="16" t="str"/>
      <x:c r="O22" s="18" t="n">
        <x:f>IFERROR(M22/D22,"")</x:f>
        <x:v>0</x:v>
      </x:c>
      <x:c r="P22" s="16" t="str"/>
      <x:c r="Q22" s="16" t="str"/>
      <x:c r="R22" s="16" t="str">
        <x:v>市場マップ用。タイトル語彙・テーマを継続監視。</x:v>
      </x:c>
      <x:c r="S22" s="16" t="str">
        <x:v>https://yutura.net/tag/1180/</x:v>
      </x:c>
      <x:c r="T22" s="16" t="str"/>
    </x:row>
    <x:row r="23">
      <x:c r="A23" s="16" t="n">
        <x:v>22</x:v>
      </x:c>
      <x:c r="B23" s="16" t="str">
        <x:v>隣接競合</x:v>
      </x:c>
      <x:c r="C23" s="16" t="str">
        <x:v>スマホアプリライフチャンネル</x:v>
      </x:c>
      <x:c r="D23" s="17" t="n">
        <x:v>9220</x:v>
      </x:c>
      <x:c r="E23" s="17" t="n">
        <x:v>3541826</x:v>
      </x:c>
      <x:c r="F23" s="17" t="n">
        <x:v>551</x:v>
      </x:c>
      <x:c r="G23" s="16" t="str">
        <x:v>Landscape</x:v>
      </x:c>
      <x:c r="H23" s="16" t="str">
        <x:v>アプリHow-to</x:v>
      </x:c>
      <x:c r="I23" s="16" t="str"/>
      <x:c r="J23" s="16" t="str"/>
      <x:c r="K23" s="17" t="str"/>
      <x:c r="L23" s="16" t="str"/>
      <x:c r="M23" s="17" t="n">
        <x:v>0</x:v>
      </x:c>
      <x:c r="N23" s="16" t="str"/>
      <x:c r="O23" s="18" t="n">
        <x:f>IFERROR(M23/D23,"")</x:f>
        <x:v>0</x:v>
      </x:c>
      <x:c r="P23" s="16" t="str"/>
      <x:c r="Q23" s="16" t="str"/>
      <x:c r="R23" s="16" t="str">
        <x:v>市場マップ用。タイトル語彙・テーマを継続監視。</x:v>
      </x:c>
      <x:c r="S23" s="16" t="str">
        <x:v>https://yutura.net/tag/1180/</x:v>
      </x:c>
      <x:c r="T23" s="16" t="str"/>
    </x:row>
    <x:row r="24">
      <x:c r="A24" s="16" t="n">
        <x:v>23</x:v>
      </x:c>
      <x:c r="B24" s="16" t="str">
        <x:v>隣接競合</x:v>
      </x:c>
      <x:c r="C24" s="16" t="str">
        <x:v>PC・スマホ塾チャンネル</x:v>
      </x:c>
      <x:c r="D24" s="17" t="n">
        <x:v>4350</x:v>
      </x:c>
      <x:c r="E24" s="17" t="n">
        <x:v>694701</x:v>
      </x:c>
      <x:c r="F24" s="17" t="n">
        <x:v>62</x:v>
      </x:c>
      <x:c r="G24" s="16" t="str">
        <x:v>Landscape</x:v>
      </x:c>
      <x:c r="H24" s="16" t="str">
        <x:v>PC/スマホ初心者</x:v>
      </x:c>
      <x:c r="I24" s="16" t="str"/>
      <x:c r="J24" s="16" t="str"/>
      <x:c r="K24" s="17" t="str"/>
      <x:c r="L24" s="16" t="str"/>
      <x:c r="M24" s="17" t="n">
        <x:v>0</x:v>
      </x:c>
      <x:c r="N24" s="16" t="str"/>
      <x:c r="O24" s="18" t="n">
        <x:f>IFERROR(M24/D24,"")</x:f>
        <x:v>0</x:v>
      </x:c>
      <x:c r="P24" s="16" t="str"/>
      <x:c r="Q24" s="16" t="str"/>
      <x:c r="R24" s="16" t="str">
        <x:v>市場マップ用。タイトル語彙・テーマを継続監視。</x:v>
      </x:c>
      <x:c r="S24" s="16" t="str">
        <x:v>https://yutura.net/tag/1180/</x:v>
      </x:c>
      <x:c r="T24" s="16" t="str"/>
    </x:row>
    <x:row r="25">
      <x:c r="A25" s="16" t="n">
        <x:v>24</x:v>
      </x:c>
      <x:c r="B25" s="16" t="str">
        <x:v>隣接競合</x:v>
      </x:c>
      <x:c r="C25" s="16" t="str">
        <x:v>スマホ辞典Vlog</x:v>
      </x:c>
      <x:c r="D25" s="17" t="n">
        <x:v>4480</x:v>
      </x:c>
      <x:c r="E25" s="17" t="n">
        <x:v>1942162</x:v>
      </x:c>
      <x:c r="F25" s="17" t="n">
        <x:v>73</x:v>
      </x:c>
      <x:c r="G25" s="16" t="str">
        <x:v>Landscape</x:v>
      </x:c>
      <x:c r="H25" s="16" t="str">
        <x:v>スマホHow-to</x:v>
      </x:c>
      <x:c r="I25" s="16" t="str"/>
      <x:c r="J25" s="16" t="str"/>
      <x:c r="K25" s="17" t="str"/>
      <x:c r="L25" s="16" t="str"/>
      <x:c r="M25" s="17" t="n">
        <x:v>0</x:v>
      </x:c>
      <x:c r="N25" s="16" t="str"/>
      <x:c r="O25" s="18" t="n">
        <x:f>IFERROR(M25/D25,"")</x:f>
        <x:v>0</x:v>
      </x:c>
      <x:c r="P25" s="16" t="str"/>
      <x:c r="Q25" s="16" t="str"/>
      <x:c r="R25" s="16" t="str">
        <x:v>市場マップ用。タイトル語彙・テーマを継続監視。</x:v>
      </x:c>
      <x:c r="S25" s="16" t="str">
        <x:v>https://yutura.net/tag/1180/</x:v>
      </x:c>
      <x:c r="T25" s="16" t="str"/>
    </x:row>
    <x:row r="26">
      <x:c r="A26" s="16" t="n">
        <x:v>25</x:v>
      </x:c>
      <x:c r="B26" s="16" t="str">
        <x:v>隣接競合</x:v>
      </x:c>
      <x:c r="C26" s="16" t="str">
        <x:v>サイトウマサノリ</x:v>
      </x:c>
      <x:c r="D26" s="17" t="n">
        <x:v>4280</x:v>
      </x:c>
      <x:c r="E26" s="17" t="n">
        <x:v>1864909</x:v>
      </x:c>
      <x:c r="F26" s="17" t="n">
        <x:v>229</x:v>
      </x:c>
      <x:c r="G26" s="16" t="str">
        <x:v>Landscape</x:v>
      </x:c>
      <x:c r="H26" s="16" t="str">
        <x:v>スマホ/PC</x:v>
      </x:c>
      <x:c r="I26" s="16" t="str"/>
      <x:c r="J26" s="16" t="str"/>
      <x:c r="K26" s="17" t="str"/>
      <x:c r="L26" s="16" t="str"/>
      <x:c r="M26" s="17" t="n">
        <x:v>0</x:v>
      </x:c>
      <x:c r="N26" s="16" t="str"/>
      <x:c r="O26" s="18" t="n">
        <x:f>IFERROR(M26/D26,"")</x:f>
        <x:v>0</x:v>
      </x:c>
      <x:c r="P26" s="16" t="str"/>
      <x:c r="Q26" s="16" t="str"/>
      <x:c r="R26" s="16" t="str">
        <x:v>市場マップ用。タイトル語彙・テーマを継続監視。</x:v>
      </x:c>
      <x:c r="S26" s="16" t="str">
        <x:v>https://yutura.net/tag/1180/</x:v>
      </x:c>
      <x:c r="T26" s="16" t="str"/>
    </x:row>
    <x:row r="27">
      <x:c r="A27" s="16" t="n">
        <x:v>26</x:v>
      </x:c>
      <x:c r="B27" s="16" t="str">
        <x:v>隣接競合</x:v>
      </x:c>
      <x:c r="C27" s="16" t="str">
        <x:v>てぃかし【How to系 動画】</x:v>
      </x:c>
      <x:c r="D27" s="17" t="n">
        <x:v>8130</x:v>
      </x:c>
      <x:c r="E27" s="17" t="n">
        <x:v>2623757</x:v>
      </x:c>
      <x:c r="F27" s="17" t="n">
        <x:v>288</x:v>
      </x:c>
      <x:c r="G27" s="16" t="str">
        <x:v>Landscape</x:v>
      </x:c>
      <x:c r="H27" s="16" t="str">
        <x:v>How-to</x:v>
      </x:c>
      <x:c r="I27" s="16" t="str"/>
      <x:c r="J27" s="16" t="str"/>
      <x:c r="K27" s="17" t="str"/>
      <x:c r="L27" s="16" t="str"/>
      <x:c r="M27" s="17" t="n">
        <x:v>0</x:v>
      </x:c>
      <x:c r="N27" s="16" t="str"/>
      <x:c r="O27" s="18" t="n">
        <x:f>IFERROR(M27/D27,"")</x:f>
        <x:v>0</x:v>
      </x:c>
      <x:c r="P27" s="16" t="str"/>
      <x:c r="Q27" s="16" t="str"/>
      <x:c r="R27" s="16" t="str">
        <x:v>市場マップ用。タイトル語彙・テーマを継続監視。</x:v>
      </x:c>
      <x:c r="S27" s="16" t="str">
        <x:v>https://yutura.net/tag/1180/</x:v>
      </x:c>
      <x:c r="T27" s="16" t="str"/>
    </x:row>
    <x:row r="28">
      <x:c r="A28" s="16" t="n">
        <x:v>27</x:v>
      </x:c>
      <x:c r="B28" s="16" t="str">
        <x:v>隣接競合</x:v>
      </x:c>
      <x:c r="C28" s="16" t="str">
        <x:v>TechBreeze・TravelBreeze 旅人ITライターさとる</x:v>
      </x:c>
      <x:c r="D28" s="17" t="n">
        <x:v>8160</x:v>
      </x:c>
      <x:c r="E28" s="17" t="n">
        <x:v>3797324</x:v>
      </x:c>
      <x:c r="F28" s="17" t="n">
        <x:v>700</x:v>
      </x:c>
      <x:c r="G28" s="16" t="str">
        <x:v>Landscape</x:v>
      </x:c>
      <x:c r="H28" s="16" t="str">
        <x:v>IT/旅行</x:v>
      </x:c>
      <x:c r="I28" s="16" t="str"/>
      <x:c r="J28" s="16" t="str"/>
      <x:c r="K28" s="17" t="str"/>
      <x:c r="L28" s="16" t="str"/>
      <x:c r="M28" s="17" t="n">
        <x:v>0</x:v>
      </x:c>
      <x:c r="N28" s="16" t="str"/>
      <x:c r="O28" s="18" t="n">
        <x:f>IFERROR(M28/D28,"")</x:f>
        <x:v>0</x:v>
      </x:c>
      <x:c r="P28" s="16" t="str"/>
      <x:c r="Q28" s="16" t="str"/>
      <x:c r="R28" s="16" t="str">
        <x:v>市場マップ用。タイトル語彙・テーマを継続監視。</x:v>
      </x:c>
      <x:c r="S28" s="16" t="str">
        <x:v>https://yutura.net/tag/1180/</x:v>
      </x:c>
      <x:c r="T28" s="16" t="str"/>
    </x:row>
    <x:row r="29">
      <x:c r="A29" s="16" t="n">
        <x:v>28</x:v>
      </x:c>
      <x:c r="B29" s="16" t="str">
        <x:v>通信/購買競合</x:v>
      </x:c>
      <x:c r="C29" s="16" t="str">
        <x:v>まーラボ Lab.【格安SIMラボ】</x:v>
      </x:c>
      <x:c r="D29" s="17" t="n">
        <x:v>40700</x:v>
      </x:c>
      <x:c r="E29" s="17" t="n">
        <x:v>10821144</x:v>
      </x:c>
      <x:c r="F29" s="17" t="n">
        <x:v>748</x:v>
      </x:c>
      <x:c r="G29" s="16" t="str">
        <x:v>Landscape</x:v>
      </x:c>
      <x:c r="H29" s="16" t="str">
        <x:v>格安SIM</x:v>
      </x:c>
      <x:c r="I29" s="16" t="str"/>
      <x:c r="J29" s="16" t="str"/>
      <x:c r="K29" s="17" t="str"/>
      <x:c r="L29" s="16" t="str"/>
      <x:c r="M29" s="17" t="n">
        <x:v>0</x:v>
      </x:c>
      <x:c r="N29" s="16" t="str"/>
      <x:c r="O29" s="18" t="n">
        <x:f>IFERROR(M29/D29,"")</x:f>
        <x:v>0</x:v>
      </x:c>
      <x:c r="P29" s="16" t="str"/>
      <x:c r="Q29" s="16" t="str"/>
      <x:c r="R29" s="16" t="str">
        <x:v>市場マップ用。タイトル語彙・テーマを継続監視。</x:v>
      </x:c>
      <x:c r="S29" s="16" t="str">
        <x:v>https://yutura.net/tag/1180/</x:v>
      </x:c>
      <x:c r="T29" s="16" t="str"/>
    </x:row>
    <x:row r="30">
      <x:c r="A30" s="16" t="n">
        <x:v>29</x:v>
      </x:c>
      <x:c r="B30" s="16" t="str">
        <x:v>通信/購買競合</x:v>
      </x:c>
      <x:c r="C30" s="16" t="str">
        <x:v>機種変チャンネル【ぶんそあ】</x:v>
      </x:c>
      <x:c r="D30" s="17" t="n">
        <x:v>40000</x:v>
      </x:c>
      <x:c r="E30" s="17" t="n">
        <x:v>21484424</x:v>
      </x:c>
      <x:c r="F30" s="17" t="n">
        <x:v>643</x:v>
      </x:c>
      <x:c r="G30" s="16" t="str">
        <x:v>Landscape</x:v>
      </x:c>
      <x:c r="H30" s="16" t="str">
        <x:v>機種変更/端末</x:v>
      </x:c>
      <x:c r="I30" s="16" t="str"/>
      <x:c r="J30" s="16" t="str"/>
      <x:c r="K30" s="17" t="str"/>
      <x:c r="L30" s="16" t="str"/>
      <x:c r="M30" s="17" t="n">
        <x:v>0</x:v>
      </x:c>
      <x:c r="N30" s="16" t="str"/>
      <x:c r="O30" s="18" t="n">
        <x:f>IFERROR(M30/D30,"")</x:f>
        <x:v>0</x:v>
      </x:c>
      <x:c r="P30" s="16" t="str"/>
      <x:c r="Q30" s="16" t="str"/>
      <x:c r="R30" s="16" t="str">
        <x:v>市場マップ用。タイトル語彙・テーマを継続監視。</x:v>
      </x:c>
      <x:c r="S30" s="16" t="str">
        <x:v>https://yutura.net/tag/1180/</x:v>
      </x:c>
      <x:c r="T30" s="16" t="str"/>
    </x:row>
    <x:row r="31">
      <x:c r="A31" s="16" t="n">
        <x:v>30</x:v>
      </x:c>
      <x:c r="B31" s="16" t="str">
        <x:v>通信/購買競合</x:v>
      </x:c>
      <x:c r="C31" s="16" t="str">
        <x:v>はっすーのスマホ屋さん</x:v>
      </x:c>
      <x:c r="D31" s="17" t="n">
        <x:v>39400</x:v>
      </x:c>
      <x:c r="E31" s="17" t="n">
        <x:v>53861828</x:v>
      </x:c>
      <x:c r="F31" s="17" t="n">
        <x:v>149</x:v>
      </x:c>
      <x:c r="G31" s="16" t="str">
        <x:v>Landscape</x:v>
      </x:c>
      <x:c r="H31" s="16" t="str">
        <x:v>端末/通信</x:v>
      </x:c>
      <x:c r="I31" s="16" t="str"/>
      <x:c r="J31" s="16" t="str"/>
      <x:c r="K31" s="17" t="str"/>
      <x:c r="L31" s="16" t="str"/>
      <x:c r="M31" s="17" t="n">
        <x:v>0</x:v>
      </x:c>
      <x:c r="N31" s="16" t="str"/>
      <x:c r="O31" s="18" t="n">
        <x:f>IFERROR(M31/D31,"")</x:f>
        <x:v>0</x:v>
      </x:c>
      <x:c r="P31" s="16" t="str"/>
      <x:c r="Q31" s="16" t="str"/>
      <x:c r="R31" s="16" t="str">
        <x:v>市場マップ用。タイトル語彙・テーマを継続監視。</x:v>
      </x:c>
      <x:c r="S31" s="16" t="str">
        <x:v>https://yutura.net/tag/1180/</x:v>
      </x:c>
      <x:c r="T31" s="16" t="str"/>
    </x:row>
    <x:row r="32">
      <x:c r="A32" s="16" t="n">
        <x:v>31</x:v>
      </x:c>
      <x:c r="B32" s="16" t="str">
        <x:v>通信/購買競合</x:v>
      </x:c>
      <x:c r="C32" s="16" t="str">
        <x:v>ネット乗り換えチャンネル</x:v>
      </x:c>
      <x:c r="D32" s="17" t="n">
        <x:v>15400</x:v>
      </x:c>
      <x:c r="E32" s="17" t="n">
        <x:v>4055189</x:v>
      </x:c>
      <x:c r="F32" s="17" t="n">
        <x:v>226</x:v>
      </x:c>
      <x:c r="G32" s="16" t="str">
        <x:v>Landscape</x:v>
      </x:c>
      <x:c r="H32" s="16" t="str">
        <x:v>回線/乗換</x:v>
      </x:c>
      <x:c r="I32" s="16" t="str"/>
      <x:c r="J32" s="16" t="str"/>
      <x:c r="K32" s="17" t="str"/>
      <x:c r="L32" s="16" t="str"/>
      <x:c r="M32" s="17" t="n">
        <x:v>0</x:v>
      </x:c>
      <x:c r="N32" s="16" t="str"/>
      <x:c r="O32" s="18" t="n">
        <x:f>IFERROR(M32/D32,"")</x:f>
        <x:v>0</x:v>
      </x:c>
      <x:c r="P32" s="16" t="str"/>
      <x:c r="Q32" s="16" t="str"/>
      <x:c r="R32" s="16" t="str">
        <x:v>市場マップ用。タイトル語彙・テーマを継続監視。</x:v>
      </x:c>
      <x:c r="S32" s="16" t="str">
        <x:v>https://yutura.net/tag/1180/</x:v>
      </x:c>
      <x:c r="T32" s="16" t="str"/>
    </x:row>
    <x:row r="33">
      <x:c r="A33" s="16" t="n">
        <x:v>32</x:v>
      </x:c>
      <x:c r="B33" s="16" t="str">
        <x:v>通信/購買競合</x:v>
      </x:c>
      <x:c r="C33" s="16" t="str">
        <x:v>シムスバ【格安SIMの選び方】</x:v>
      </x:c>
      <x:c r="D33" s="17" t="n">
        <x:v>15300</x:v>
      </x:c>
      <x:c r="E33" s="17" t="n">
        <x:v>3485667</x:v>
      </x:c>
      <x:c r="F33" s="17" t="n">
        <x:v>146</x:v>
      </x:c>
      <x:c r="G33" s="16" t="str">
        <x:v>Landscape</x:v>
      </x:c>
      <x:c r="H33" s="16" t="str">
        <x:v>格安SIM</x:v>
      </x:c>
      <x:c r="I33" s="16" t="str"/>
      <x:c r="J33" s="16" t="str"/>
      <x:c r="K33" s="17" t="str"/>
      <x:c r="L33" s="16" t="str"/>
      <x:c r="M33" s="17" t="n">
        <x:v>0</x:v>
      </x:c>
      <x:c r="N33" s="16" t="str"/>
      <x:c r="O33" s="18" t="n">
        <x:f>IFERROR(M33/D33,"")</x:f>
        <x:v>0</x:v>
      </x:c>
      <x:c r="P33" s="16" t="str"/>
      <x:c r="Q33" s="16" t="str"/>
      <x:c r="R33" s="16" t="str">
        <x:v>市場マップ用。タイトル語彙・テーマを継続監視。</x:v>
      </x:c>
      <x:c r="S33" s="16" t="str">
        <x:v>https://yutura.net/tag/1180/</x:v>
      </x:c>
      <x:c r="T33" s="16" t="str"/>
    </x:row>
    <x:row r="34">
      <x:c r="A34" s="16" t="n">
        <x:v>33</x:v>
      </x:c>
      <x:c r="B34" s="16" t="str">
        <x:v>通信/購買競合</x:v>
      </x:c>
      <x:c r="C34" s="16" t="str">
        <x:v>モバワンチャンネル</x:v>
      </x:c>
      <x:c r="D34" s="17" t="n">
        <x:v>14500</x:v>
      </x:c>
      <x:c r="E34" s="17" t="n">
        <x:v>7397627</x:v>
      </x:c>
      <x:c r="F34" s="17" t="n">
        <x:v>388</x:v>
      </x:c>
      <x:c r="G34" s="16" t="str">
        <x:v>Landscape</x:v>
      </x:c>
      <x:c r="H34" s="16" t="str">
        <x:v>スマホ/通信</x:v>
      </x:c>
      <x:c r="I34" s="16" t="str"/>
      <x:c r="J34" s="16" t="str"/>
      <x:c r="K34" s="17" t="str"/>
      <x:c r="L34" s="16" t="str"/>
      <x:c r="M34" s="17" t="n">
        <x:v>0</x:v>
      </x:c>
      <x:c r="N34" s="16" t="str"/>
      <x:c r="O34" s="18" t="n">
        <x:f>IFERROR(M34/D34,"")</x:f>
        <x:v>0</x:v>
      </x:c>
      <x:c r="P34" s="16" t="str"/>
      <x:c r="Q34" s="16" t="str"/>
      <x:c r="R34" s="16" t="str">
        <x:v>市場マップ用。タイトル語彙・テーマを継続監視。</x:v>
      </x:c>
      <x:c r="S34" s="16" t="str">
        <x:v>https://yutura.net/tag/1180/</x:v>
      </x:c>
      <x:c r="T34" s="16" t="str"/>
    </x:row>
    <x:row r="35">
      <x:c r="A35" s="16" t="n">
        <x:v>34</x:v>
      </x:c>
      <x:c r="B35" s="16" t="str">
        <x:v>通信/購買競合</x:v>
      </x:c>
      <x:c r="C35" s="16" t="str">
        <x:v>元auショップ店員のコスパ好きチャンネル</x:v>
      </x:c>
      <x:c r="D35" s="17" t="n">
        <x:v>10300</x:v>
      </x:c>
      <x:c r="E35" s="17" t="n">
        <x:v>2466803</x:v>
      </x:c>
      <x:c r="F35" s="17" t="n">
        <x:v>283</x:v>
      </x:c>
      <x:c r="G35" s="16" t="str">
        <x:v>Landscape</x:v>
      </x:c>
      <x:c r="H35" s="16" t="str">
        <x:v>通信/コスパ</x:v>
      </x:c>
      <x:c r="I35" s="16" t="str"/>
      <x:c r="J35" s="16" t="str"/>
      <x:c r="K35" s="17" t="str"/>
      <x:c r="L35" s="16" t="str"/>
      <x:c r="M35" s="17" t="n">
        <x:v>0</x:v>
      </x:c>
      <x:c r="N35" s="16" t="str"/>
      <x:c r="O35" s="18" t="n">
        <x:f>IFERROR(M35/D35,"")</x:f>
        <x:v>0</x:v>
      </x:c>
      <x:c r="P35" s="16" t="str"/>
      <x:c r="Q35" s="16" t="str"/>
      <x:c r="R35" s="16" t="str">
        <x:v>市場マップ用。タイトル語彙・テーマを継続監視。</x:v>
      </x:c>
      <x:c r="S35" s="16" t="str">
        <x:v>https://yutura.net/tag/1180/</x:v>
      </x:c>
      <x:c r="T35" s="16" t="str"/>
    </x:row>
    <x:row r="36">
      <x:c r="A36" s="16" t="n">
        <x:v>35</x:v>
      </x:c>
      <x:c r="B36" s="16" t="str">
        <x:v>公式ベンチマーク</x:v>
      </x:c>
      <x:c r="C36" s="16" t="str">
        <x:v>docomoOfficial</x:v>
      </x:c>
      <x:c r="D36" s="17" t="n">
        <x:v>398000</x:v>
      </x:c>
      <x:c r="E36" s="17" t="n">
        <x:v>436060050</x:v>
      </x:c>
      <x:c r="F36" s="17" t="n">
        <x:v>314</x:v>
      </x:c>
      <x:c r="G36" s="16" t="str">
        <x:v>Landscape</x:v>
      </x:c>
      <x:c r="H36" s="16" t="str">
        <x:v>公式/サービス</x:v>
      </x:c>
      <x:c r="I36" s="16" t="str"/>
      <x:c r="J36" s="16" t="str"/>
      <x:c r="K36" s="17" t="str"/>
      <x:c r="L36" s="16" t="str"/>
      <x:c r="M36" s="17" t="n">
        <x:v>0</x:v>
      </x:c>
      <x:c r="N36" s="16" t="str"/>
      <x:c r="O36" s="18" t="n">
        <x:f>IFERROR(M36/D36,"")</x:f>
        <x:v>0</x:v>
      </x:c>
      <x:c r="P36" s="16" t="str"/>
      <x:c r="Q36" s="16" t="str"/>
      <x:c r="R36" s="16" t="str">
        <x:v>公式仕様・変更の一次確認先。</x:v>
      </x:c>
      <x:c r="S36" s="16" t="str">
        <x:v>https://yutura.net/tag/1180/</x:v>
      </x:c>
      <x:c r="T36" s="16" t="str"/>
    </x:row>
    <x:row r="37">
      <x:c r="A37" s="16" t="n">
        <x:v>36</x:v>
      </x:c>
      <x:c r="B37" s="16" t="str">
        <x:v>公式ベンチマーク</x:v>
      </x:c>
      <x:c r="C37" s="16" t="str">
        <x:v>au</x:v>
      </x:c>
      <x:c r="D37" s="17" t="n">
        <x:v>384000</x:v>
      </x:c>
      <x:c r="E37" s="17" t="n">
        <x:v>724997550</x:v>
      </x:c>
      <x:c r="F37" s="17" t="n">
        <x:v>3183</x:v>
      </x:c>
      <x:c r="G37" s="16" t="str">
        <x:v>Landscape</x:v>
      </x:c>
      <x:c r="H37" s="16" t="str">
        <x:v>公式/サービス</x:v>
      </x:c>
      <x:c r="I37" s="16" t="str"/>
      <x:c r="J37" s="16" t="str"/>
      <x:c r="K37" s="17" t="str"/>
      <x:c r="L37" s="16" t="str"/>
      <x:c r="M37" s="17" t="n">
        <x:v>0</x:v>
      </x:c>
      <x:c r="N37" s="16" t="str"/>
      <x:c r="O37" s="18" t="n">
        <x:f>IFERROR(M37/D37,"")</x:f>
        <x:v>0</x:v>
      </x:c>
      <x:c r="P37" s="16" t="str"/>
      <x:c r="Q37" s="16" t="str"/>
      <x:c r="R37" s="16" t="str">
        <x:v>公式仕様・変更の一次確認先。</x:v>
      </x:c>
      <x:c r="S37" s="16" t="str">
        <x:v>https://yutura.net/tag/1180/</x:v>
      </x:c>
      <x:c r="T37" s="16" t="str"/>
    </x:row>
    <x:row r="38">
      <x:c r="A38" s="16" t="n">
        <x:v>37</x:v>
      </x:c>
      <x:c r="B38" s="16" t="str">
        <x:v>公式ベンチマーク</x:v>
      </x:c>
      <x:c r="C38" s="16" t="str">
        <x:v>ソフトバンク（SoftBank）</x:v>
      </x:c>
      <x:c r="D38" s="17" t="n">
        <x:v>199000</x:v>
      </x:c>
      <x:c r="E38" s="17" t="n">
        <x:v>65354385</x:v>
      </x:c>
      <x:c r="F38" s="17" t="n">
        <x:v>1868</x:v>
      </x:c>
      <x:c r="G38" s="16" t="str">
        <x:v>Landscape</x:v>
      </x:c>
      <x:c r="H38" s="16" t="str">
        <x:v>公式/サービス</x:v>
      </x:c>
      <x:c r="I38" s="16" t="str"/>
      <x:c r="J38" s="16" t="str"/>
      <x:c r="K38" s="17" t="str"/>
      <x:c r="L38" s="16" t="str"/>
      <x:c r="M38" s="17" t="n">
        <x:v>0</x:v>
      </x:c>
      <x:c r="N38" s="16" t="str"/>
      <x:c r="O38" s="18" t="n">
        <x:f>IFERROR(M38/D38,"")</x:f>
        <x:v>0</x:v>
      </x:c>
      <x:c r="P38" s="16" t="str"/>
      <x:c r="Q38" s="16" t="str"/>
      <x:c r="R38" s="16" t="str">
        <x:v>公式仕様・変更の一次確認先。</x:v>
      </x:c>
      <x:c r="S38" s="16" t="str">
        <x:v>https://yutura.net/tag/1180/</x:v>
      </x:c>
      <x:c r="T38" s="16" t="str"/>
    </x:row>
    <x:row r="39">
      <x:c r="A39" s="16" t="n">
        <x:v>38</x:v>
      </x:c>
      <x:c r="B39" s="16" t="str">
        <x:v>公式ベンチマーク</x:v>
      </x:c>
      <x:c r="C39" s="16" t="str">
        <x:v>Apple Japan</x:v>
      </x:c>
      <x:c r="D39" s="17" t="n">
        <x:v>865000</x:v>
      </x:c>
      <x:c r="E39" s="17" t="n">
        <x:v>163749023</x:v>
      </x:c>
      <x:c r="F39" s="17" t="n">
        <x:v>253</x:v>
      </x:c>
      <x:c r="G39" s="16" t="str">
        <x:v>Landscape</x:v>
      </x:c>
      <x:c r="H39" s="16" t="str">
        <x:v>公式/製品</x:v>
      </x:c>
      <x:c r="I39" s="16" t="str"/>
      <x:c r="J39" s="16" t="str"/>
      <x:c r="K39" s="17" t="str"/>
      <x:c r="L39" s="16" t="str"/>
      <x:c r="M39" s="17" t="n">
        <x:v>0</x:v>
      </x:c>
      <x:c r="N39" s="16" t="str"/>
      <x:c r="O39" s="18" t="n">
        <x:f>IFERROR(M39/D39,"")</x:f>
        <x:v>0</x:v>
      </x:c>
      <x:c r="P39" s="16" t="str"/>
      <x:c r="Q39" s="16" t="str"/>
      <x:c r="R39" s="16" t="str">
        <x:v>公式仕様・変更の一次確認先。</x:v>
      </x:c>
      <x:c r="S39" s="16" t="str">
        <x:v>https://yutura.net/tag/1180/</x:v>
      </x:c>
      <x:c r="T39" s="16" t="str"/>
    </x:row>
    <x:row r="40">
      <x:c r="A40" s="16" t="n">
        <x:v>39</x:v>
      </x:c>
      <x:c r="B40" s="16" t="str">
        <x:v>公式ベンチマーク</x:v>
      </x:c>
      <x:c r="C40" s="16" t="str">
        <x:v>Sony | Xperia Japan</x:v>
      </x:c>
      <x:c r="D40" s="17" t="n">
        <x:v>64700</x:v>
      </x:c>
      <x:c r="E40" s="17" t="n">
        <x:v>4092459</x:v>
      </x:c>
      <x:c r="F40" s="17" t="n">
        <x:v>75</x:v>
      </x:c>
      <x:c r="G40" s="16" t="str">
        <x:v>Landscape</x:v>
      </x:c>
      <x:c r="H40" s="16" t="str">
        <x:v>公式/端末</x:v>
      </x:c>
      <x:c r="I40" s="16" t="str"/>
      <x:c r="J40" s="16" t="str"/>
      <x:c r="K40" s="17" t="str"/>
      <x:c r="L40" s="16" t="str"/>
      <x:c r="M40" s="17" t="n">
        <x:v>0</x:v>
      </x:c>
      <x:c r="N40" s="16" t="str"/>
      <x:c r="O40" s="18" t="n">
        <x:f>IFERROR(M40/D40,"")</x:f>
        <x:v>0</x:v>
      </x:c>
      <x:c r="P40" s="16" t="str"/>
      <x:c r="Q40" s="16" t="str"/>
      <x:c r="R40" s="16" t="str">
        <x:v>公式仕様・変更の一次確認先。</x:v>
      </x:c>
      <x:c r="S40" s="16" t="str">
        <x:v>https://yutura.net/tag/1180/</x:v>
      </x:c>
      <x:c r="T40" s="16" t="str"/>
    </x:row>
    <x:row r="41">
      <x:c r="A41" s="16" t="n">
        <x:v>40</x:v>
      </x:c>
      <x:c r="B41" s="16" t="str">
        <x:v>隣接競合</x:v>
      </x:c>
      <x:c r="C41" s="16" t="str">
        <x:v>初心者向けスマホ講座【動画で学ぶスマホ教室スマ校】</x:v>
      </x:c>
      <x:c r="D41" s="17" t="n">
        <x:v>2850</x:v>
      </x:c>
      <x:c r="E41" s="17" t="n">
        <x:v>646532</x:v>
      </x:c>
      <x:c r="F41" s="17" t="n">
        <x:v>44</x:v>
      </x:c>
      <x:c r="G41" s="16" t="str">
        <x:v>Landscape</x:v>
      </x:c>
      <x:c r="H41" s="16" t="str">
        <x:v>初心者How-to</x:v>
      </x:c>
      <x:c r="I41" s="16" t="str"/>
      <x:c r="J41" s="16" t="str"/>
      <x:c r="K41" s="17" t="str"/>
      <x:c r="L41" s="16" t="str"/>
      <x:c r="M41" s="17" t="n">
        <x:v>0</x:v>
      </x:c>
      <x:c r="N41" s="16" t="str"/>
      <x:c r="O41" s="18" t="n">
        <x:f>IFERROR(M41/D41,"")</x:f>
        <x:v>0</x:v>
      </x:c>
      <x:c r="P41" s="16" t="str"/>
      <x:c r="Q41" s="16" t="str"/>
      <x:c r="R41" s="16" t="str">
        <x:v>市場マップ用。タイトル語彙・テーマを継続監視。</x:v>
      </x:c>
      <x:c r="S41" s="16" t="str">
        <x:v>https://yutura.net/tag/1180/</x:v>
      </x:c>
      <x:c r="T41" s="16" t="str"/>
    </x:row>
  </x:sheetData>
  <x:conditionalFormatting sqref="D2:D41">
    <x:cfRule type="dataBar" priority="1">
      <x:dataBar>
        <x:cfvo type="min"/>
        <x:cfvo type="max"/>
        <x:color rgb="FF2B6CB0"/>
      </x:dataBar>
      <x:extLst>
        <x:ext xmlns:x14="http://schemas.microsoft.com/office/spreadsheetml/2009/9/main" uri="{B025F937-C7B1-47D3-B67F-A62EFF666E3E}">
          <x14:id>{53374EAD-8968-9BDD-0C6D-CC9246306C7E}</x14:id>
        </x:ext>
      </x:extLst>
    </x:cfRule>
  </x:conditionalFormatting>
  <x:conditionalFormatting sqref="M2:M41">
    <x:cfRule type="dataBar" priority="2">
      <x:dataBar>
        <x:cfvo type="min"/>
        <x:cfvo type="max"/>
        <x:color rgb="FF2F855A"/>
      </x:dataBar>
      <x:extLst>
        <x:ext xmlns:x14="http://schemas.microsoft.com/office/spreadsheetml/2009/9/main" uri="{B025F937-C7B1-47D3-B67F-A62EFF666E3E}">
          <x14:id>{E62C8C13-F3AB-69BD-3B1C-D65328F5D2EF}</x14:id>
        </x:ext>
      </x:extLst>
    </x:cfRule>
  </x:conditionalFormatting>
  <x:conditionalFormatting sqref="O2:O4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8e3a8892d1a4d0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374EAD-8968-9BDD-0C6D-CC9246306C7E}">
            <x14:dataBar gradient="1">
              <x14:cfvo type="min"/>
              <x14:cfvo type="max"/>
              <x14:fillColor rgb="FF2B6CB0"/>
            </x14:dataBar>
          </x14:cfRule>
          <xm:sqref>D2:D41</xm:sqref>
        </x14:conditionalFormatting>
        <x14:conditionalFormatting>
          <x14:cfRule type="dataBar" priority="2" id="{E62C8C13-F3AB-69BD-3B1C-D65328F5D2EF}">
            <x14:dataBar gradient="1">
              <x14:cfvo type="min"/>
              <x14:cfvo type="max"/>
              <x14:fillColor rgb="FF2F855A"/>
            </x14:dataBar>
          </x14:cfRule>
          <xm:sqref>M2:M41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48" hidden="0" customWidth="1"/>
    <x:col min="4" max="4" width="14" hidden="0" customWidth="1"/>
    <x:col min="5" max="5" width="10" hidden="0" customWidth="1"/>
    <x:col min="6" max="6" width="10" hidden="0" customWidth="1"/>
    <x:col min="7" max="7" width="18" hidden="0" customWidth="1"/>
    <x:col min="8" max="8" width="34" hidden="0" customWidth="1"/>
    <x:col min="9" max="9" width="22" hidden="0" customWidth="1"/>
    <x:col min="10" max="10" width="38" hidden="0" customWidth="1"/>
    <x:col min="11" max="11" width="42" hidden="0" customWidth="1"/>
  </x:cols>
  <x:sheetData>
    <x:row r="1">
      <x:c r="A1" s="6" t="str">
        <x:v>チャンネル</x:v>
      </x:c>
      <x:c r="B1" s="6" t="str">
        <x:v>公開日</x:v>
      </x:c>
      <x:c r="C1" s="6" t="str">
        <x:v>動画/企画</x:v>
      </x:c>
      <x:c r="D1" s="6" t="str">
        <x:v>再生数</x:v>
      </x:c>
      <x:c r="E1" s="6" t="str">
        <x:v>尺(分)</x:v>
      </x:c>
      <x:c r="F1" s="6" t="str">
        <x:v>柱</x:v>
      </x:c>
      <x:c r="G1" s="6" t="str">
        <x:v>トリガー</x:v>
      </x:c>
      <x:c r="H1" s="6" t="str">
        <x:v>タイトル構文</x:v>
      </x:c>
      <x:c r="I1" s="6" t="str">
        <x:v>サムネ短文例</x:v>
      </x:c>
      <x:c r="J1" s="6" t="str">
        <x:v>なぜ効くか</x:v>
      </x:c>
      <x:c r="K1" s="6" t="str">
        <x:v>Source URL</x:v>
      </x:c>
    </x:row>
    <x:row r="2">
      <x:c r="A2" s="16" t="str">
        <x:v>スマホのコンシェルジュ</x:v>
      </x:c>
      <x:c r="B2" s="16" t="str">
        <x:v>2026-06-17</x:v>
      </x:c>
      <x:c r="C2" s="16" t="str">
        <x:v>Chromeの危険設定</x:v>
      </x:c>
      <x:c r="D2" s="17" t="n">
        <x:v>452184</x:v>
      </x:c>
      <x:c r="E2" s="22" t="n">
        <x:v>22.15</x:v>
      </x:c>
      <x:c r="F2" s="16" t="str">
        <x:v>守る</x:v>
      </x:c>
      <x:c r="G2" s="16" t="str">
        <x:v>危険/警告</x:v>
      </x:c>
      <x:c r="H2" s="16" t="str">
        <x:v>[サービス名]＋危険設定＋今すぐ確認</x:v>
      </x:c>
      <x:c r="I2" s="16" t="str">
        <x:v>危険設定 / 今すぐOFF</x:v>
      </x:c>
      <x:c r="J2" s="16" t="str">
        <x:v>身近なサービス＋重大リスク＋実機。</x:v>
      </x:c>
      <x:c r="K2" s="16" t="str">
        <x:v>https://db.bitstar.tokyo/youtube/UCd0lXfZHpNsfLtOBPWHkV8g?content=posts</x:v>
      </x:c>
    </x:row>
    <x:row r="3">
      <x:c r="A3" s="16" t="str">
        <x:v>スマホのコンシェルジュ</x:v>
      </x:c>
      <x:c r="B3" s="16" t="str">
        <x:v>2026-06-27</x:v>
      </x:c>
      <x:c r="C3" s="16" t="str">
        <x:v>Googleの新しいプライバシー設定</x:v>
      </x:c>
      <x:c r="D3" s="17" t="n">
        <x:v>429649</x:v>
      </x:c>
      <x:c r="E3" s="22" t="n">
        <x:v>9.33</x:v>
      </x:c>
      <x:c r="F3" s="16" t="str">
        <x:v>守る</x:v>
      </x:c>
      <x:c r="G3" s="16" t="str">
        <x:v>変更/新ルール</x:v>
      </x:c>
      <x:c r="H3" s="16" t="str">
        <x:v>[大手サービス]＋変更＋OFF/確認</x:v>
      </x:c>
      <x:c r="I3" s="16" t="str">
        <x:v>Google変更 / OFF</x:v>
      </x:c>
      <x:c r="J3" s="16" t="str">
        <x:v>『変わった』は期限性を作る。</x:v>
      </x:c>
      <x:c r="K3" s="16" t="str">
        <x:v>https://db.bitstar.tokyo/youtube/UCd0lXfZHpNsfLtOBPWHkV8g?content=posts</x:v>
      </x:c>
    </x:row>
    <x:row r="4">
      <x:c r="A4" s="16" t="str">
        <x:v>スマホのコンシェルジュ</x:v>
      </x:c>
      <x:c r="B4" s="16" t="str"/>
      <x:c r="C4" s="16" t="str">
        <x:v>Wi‑Fiでやってはいけないこと</x:v>
      </x:c>
      <x:c r="D4" s="17" t="n">
        <x:v>427706</x:v>
      </x:c>
      <x:c r="E4" s="22" t="n">
        <x:v>6.88</x:v>
      </x:c>
      <x:c r="F4" s="16" t="str">
        <x:v>守る</x:v>
      </x:c>
      <x:c r="G4" s="16" t="str">
        <x:v>危険/警告</x:v>
      </x:c>
      <x:c r="H4" s="16" t="str">
        <x:v>やってはいけない＋身近な機能</x:v>
      </x:c>
      <x:c r="I4" s="16" t="str">
        <x:v>Wi‑Fi 注意</x:v>
      </x:c>
      <x:c r="J4" s="16" t="str">
        <x:v>全年代の身近な失敗回避。</x:v>
      </x:c>
      <x:c r="K4" s="16" t="str">
        <x:v>https://db.bitstar.tokyo/youtube/UCd0lXfZHpNsfLtOBPWHkV8g?content=posts</x:v>
      </x:c>
    </x:row>
    <x:row r="5">
      <x:c r="A5" s="16" t="str">
        <x:v>スマホのコンシェルジュ</x:v>
      </x:c>
      <x:c r="B5" s="16" t="str"/>
      <x:c r="C5" s="16" t="str">
        <x:v>スマホ処分前にやること</x:v>
      </x:c>
      <x:c r="D5" s="17" t="n">
        <x:v>421893</x:v>
      </x:c>
      <x:c r="E5" s="22" t="n">
        <x:v>12.38</x:v>
      </x:c>
      <x:c r="F5" s="16" t="str">
        <x:v>整える</x:v>
      </x:c>
      <x:c r="G5" s="16" t="str">
        <x:v>失敗回避</x:v>
      </x:c>
      <x:c r="H5" s="16" t="str">
        <x:v>〜する前に＋必須チェック</x:v>
      </x:c>
      <x:c r="I5" s="16" t="str">
        <x:v>捨てる前に</x:v>
      </x:c>
      <x:c r="J5" s="16" t="str">
        <x:v>不可逆な失敗を避ける強い意図。</x:v>
      </x:c>
      <x:c r="K5" s="16" t="str">
        <x:v>https://db.bitstar.tokyo/youtube/UCd0lXfZHpNsfLtOBPWHkV8g?content=posts</x:v>
      </x:c>
    </x:row>
    <x:row r="6">
      <x:c r="A6" s="16" t="str">
        <x:v>スマホのコンシェルジュ</x:v>
      </x:c>
      <x:c r="B6" s="16" t="str">
        <x:v>2026-07-08</x:v>
      </x:c>
      <x:c r="C6" s="16" t="str">
        <x:v>Google利用規約の変更</x:v>
      </x:c>
      <x:c r="D6" s="17" t="n">
        <x:v>268596</x:v>
      </x:c>
      <x:c r="E6" s="22" t="n">
        <x:v>11.87</x:v>
      </x:c>
      <x:c r="F6" s="16" t="str">
        <x:v>守る</x:v>
      </x:c>
      <x:c r="G6" s="16" t="str">
        <x:v>変更/新ルール</x:v>
      </x:c>
      <x:c r="H6" s="16" t="str">
        <x:v>[サービス]＋規約変更＋何が変わる</x:v>
      </x:c>
      <x:c r="I6" s="16" t="str">
        <x:v>Google規約変更</x:v>
      </x:c>
      <x:c r="J6" s="16" t="str">
        <x:v>ニュースを『自分が何をするか』まで落とす。</x:v>
      </x:c>
      <x:c r="K6" s="16" t="str">
        <x:v>https://db.bitstar.tokyo/youtube/UCd0lXfZHpNsfLtOBPWHkV8g?content=posts</x:v>
      </x:c>
    </x:row>
    <x:row r="7">
      <x:c r="A7" s="16" t="str">
        <x:v>埼玉スマホ教室</x:v>
      </x:c>
      <x:c r="B7" s="16" t="str"/>
      <x:c r="C7" s="16" t="str">
        <x:v>GoogleアプリとChromeアプリの決定的な違い</x:v>
      </x:c>
      <x:c r="D7" s="17" t="n">
        <x:v>4892947</x:v>
      </x:c>
      <x:c r="E7" s="22"/>
      <x:c r="F7" s="16" t="str">
        <x:v>使う</x:v>
      </x:c>
      <x:c r="G7" s="16" t="str">
        <x:v>違い/誤解</x:v>
      </x:c>
      <x:c r="H7" s="16" t="str">
        <x:v>AとBの決定的な違い</x:v>
      </x:c>
      <x:c r="I7" s="16" t="str">
        <x:v>Google vs Chrome</x:v>
      </x:c>
      <x:c r="J7" s="16" t="str">
        <x:v>初心者の巨大な混同を解消。</x:v>
      </x:c>
      <x:c r="K7" s="16" t="str">
        <x:v>https://digitalcreators.jp/channel/ja/UCKeSbR4kQK4RAPsrLVKJjCQ/</x:v>
      </x:c>
    </x:row>
    <x:row r="8">
      <x:c r="A8" s="16" t="str">
        <x:v>埼玉スマホ教室</x:v>
      </x:c>
      <x:c r="B8" s="16" t="str">
        <x:v>2026-08-27</x:v>
      </x:c>
      <x:c r="C8" s="16" t="str">
        <x:v>LINEの青い日付で高額請求？悪質な動画の真相</x:v>
      </x:c>
      <x:c r="D8" s="17" t="n">
        <x:v>30185</x:v>
      </x:c>
      <x:c r="E8" s="22"/>
      <x:c r="F8" s="16" t="str">
        <x:v>守る</x:v>
      </x:c>
      <x:c r="G8" s="16" t="str">
        <x:v>検証/デマ</x:v>
      </x:c>
      <x:c r="H8" s="16" t="str">
        <x:v>バズ噂＋真相/公式確認</x:v>
      </x:c>
      <x:c r="I8" s="16" t="str">
        <x:v>その噂、本当？</x:v>
      </x:c>
      <x:c r="J8" s="16" t="str">
        <x:v>恐怖型市場に『検証』で対抗。</x:v>
      </x:c>
      <x:c r="K8" s="16" t="str">
        <x:v>https://db.bitstar.tokyo/youtube/UCKeSbR4kQK4RAPsrLVKJjCQ?content=posts</x:v>
      </x:c>
    </x:row>
    <x:row r="9">
      <x:c r="A9" s="16" t="str">
        <x:v>ゆきえのスマホ塾</x:v>
      </x:c>
      <x:c r="B9" s="16" t="str"/>
      <x:c r="C9" s="16" t="str">
        <x:v>LINEで個人情報が抜かれてます！すぐに「これ」してください</x:v>
      </x:c>
      <x:c r="D9" s="17" t="n">
        <x:v>3875916</x:v>
      </x:c>
      <x:c r="E9" s="22"/>
      <x:c r="F9" s="16" t="str">
        <x:v>守る</x:v>
      </x:c>
      <x:c r="G9" s="16" t="str">
        <x:v>個人情報/乗っ取り</x:v>
      </x:c>
      <x:c r="H9" s="16" t="str">
        <x:v>[アプリ]＋個人情報＋すぐに＋ココ</x:v>
      </x:c>
      <x:c r="I9" s="16" t="str">
        <x:v>LINE / すぐ確認</x:v>
      </x:c>
      <x:c r="J9" s="16" t="str">
        <x:v>重大リスク×即時行動。</x:v>
      </x:c>
      <x:c r="K9" s="16" t="str">
        <x:v>https://www.youtube.com/@yukie_smartphone</x:v>
      </x:c>
    </x:row>
    <x:row r="10">
      <x:c r="A10" s="16" t="str">
        <x:v>ゆきえのスマホ塾</x:v>
      </x:c>
      <x:c r="B10" s="16" t="str"/>
      <x:c r="C10" s="16" t="str">
        <x:v>スマホ重い人 LINEのココすぐ消して下さい</x:v>
      </x:c>
      <x:c r="D10" s="17" t="n">
        <x:v>1441449</x:v>
      </x:c>
      <x:c r="E10" s="22"/>
      <x:c r="F10" s="16" t="str">
        <x:v>整える</x:v>
      </x:c>
      <x:c r="G10" s="16" t="str">
        <x:v>容量/重い</x:v>
      </x:c>
      <x:c r="H10" s="16" t="str">
        <x:v>症状＋アプリ＋ココ＋すぐ</x:v>
      </x:c>
      <x:c r="I10" s="16" t="str">
        <x:v>LINE / ココ消す</x:v>
      </x:c>
      <x:c r="J10" s="16" t="str">
        <x:v>明確な痛み＋視覚的解決。</x:v>
      </x:c>
      <x:c r="K10" s="16" t="str">
        <x:v>https://www.youtube.com/@yukie_smartphone</x:v>
      </x:c>
    </x:row>
    <x:row r="11">
      <x:c r="A11" s="16" t="str">
        <x:v>ゆきえのスマホ塾</x:v>
      </x:c>
      <x:c r="B11" s="16" t="str">
        <x:v>2026-07</x:v>
      </x:c>
      <x:c r="C11" s="16" t="str">
        <x:v>Google利用規約変更</x:v>
      </x:c>
      <x:c r="D11" s="17" t="n">
        <x:v>587029</x:v>
      </x:c>
      <x:c r="E11" s="22" t="n">
        <x:v>13</x:v>
      </x:c>
      <x:c r="F11" s="16" t="str">
        <x:v>守る</x:v>
      </x:c>
      <x:c r="G11" s="16" t="str">
        <x:v>変更/新ルール</x:v>
      </x:c>
      <x:c r="H11" s="16" t="str">
        <x:v>Google＋変更＋全員確認</x:v>
      </x:c>
      <x:c r="I11" s="16" t="str">
        <x:v>Google変更</x:v>
      </x:c>
      <x:c r="J11" s="16" t="str">
        <x:v>大手制度変更は自分事化しやすい。</x:v>
      </x:c>
      <x:c r="K11" s="16" t="str">
        <x:v>https://www.youtube.com/@yukie_smartphone</x:v>
      </x:c>
    </x:row>
    <x:row r="12">
      <x:c r="A12" s="16" t="str">
        <x:v>ゆきえのスマホ塾</x:v>
      </x:c>
      <x:c r="B12" s="16" t="str"/>
      <x:c r="C12" s="16" t="str">
        <x:v>スマホ乗っ取りのサイン</x:v>
      </x:c>
      <x:c r="D12" s="17" t="n">
        <x:v>608206</x:v>
      </x:c>
      <x:c r="E12" s="22"/>
      <x:c r="F12" s="16" t="str">
        <x:v>守る</x:v>
      </x:c>
      <x:c r="G12" s="16" t="str">
        <x:v>個人情報/乗っ取り</x:v>
      </x:c>
      <x:c r="H12" s="16" t="str">
        <x:v>この症状があれば＋乗っ取り</x:v>
      </x:c>
      <x:c r="I12" s="16" t="str">
        <x:v>この症状危険</x:v>
      </x:c>
      <x:c r="J12" s="16" t="str">
        <x:v>自己診断で視聴維持を作る。</x:v>
      </x:c>
      <x:c r="K12" s="16" t="str">
        <x:v>https://www.youtube.com/@yukie_smartphone</x:v>
      </x:c>
    </x:row>
    <x:row r="13">
      <x:c r="A13" s="16" t="str">
        <x:v>ゆきえのスマホ塾</x:v>
      </x:c>
      <x:c r="B13" s="16" t="str"/>
      <x:c r="C13" s="16" t="str">
        <x:v>広告を止める方法</x:v>
      </x:c>
      <x:c r="D13" s="17" t="n">
        <x:v>834532</x:v>
      </x:c>
      <x:c r="E13" s="22" t="n">
        <x:v>10</x:v>
      </x:c>
      <x:c r="F13" s="16" t="str">
        <x:v>整える</x:v>
      </x:c>
      <x:c r="G13" s="16" t="str">
        <x:v>容量/重い</x:v>
      </x:c>
      <x:c r="H13" s="16" t="str">
        <x:v>困りごと＋止める/消す</x:v>
      </x:c>
      <x:c r="I13" s="16" t="str">
        <x:v>広告を止める</x:v>
      </x:c>
      <x:c r="J13" s="16" t="str">
        <x:v>毎日の不快を即解決。</x:v>
      </x:c>
      <x:c r="K13" s="16" t="str">
        <x:v>https://www.youtube.com/@yukie_smartphone</x:v>
      </x:c>
    </x:row>
    <x:row r="14">
      <x:c r="A14" s="16" t="str">
        <x:v>ゆきえのスマホ塾</x:v>
      </x:c>
      <x:c r="B14" s="16" t="str"/>
      <x:c r="C14" s="16" t="str">
        <x:v>勝手に個人情報が公開される？設定確認</x:v>
      </x:c>
      <x:c r="D14" s="17" t="n">
        <x:v>490663</x:v>
      </x:c>
      <x:c r="E14" s="22" t="n">
        <x:v>8</x:v>
      </x:c>
      <x:c r="F14" s="16" t="str">
        <x:v>守る</x:v>
      </x:c>
      <x:c r="G14" s="16" t="str">
        <x:v>個人情報/乗っ取り</x:v>
      </x:c>
      <x:c r="H14" s="16" t="str">
        <x:v>勝手に＋公開＋確認</x:v>
      </x:c>
      <x:c r="I14" s="16" t="str">
        <x:v>公開されてる？</x:v>
      </x:c>
      <x:c r="J14" s="16" t="str">
        <x:v>『自分も？』の確認型。</x:v>
      </x:c>
      <x:c r="K14" s="16" t="str">
        <x:v>https://www.youtube.com/@yukie_smartphone</x:v>
      </x:c>
    </x:row>
    <x:row r="15">
      <x:c r="A15" s="16" t="str">
        <x:v>まいの安心スマホ教室</x:v>
      </x:c>
      <x:c r="B15" s="16" t="str">
        <x:v>2026-08-09</x:v>
      </x:c>
      <x:c r="C15" s="16" t="str">
        <x:v>母が気づかず設定…LINE誤操作で高額請求…OFF</x:v>
      </x:c>
      <x:c r="D15" s="17" t="n">
        <x:v>944408</x:v>
      </x:c>
      <x:c r="E15" s="22"/>
      <x:c r="F15" s="16" t="str">
        <x:v>守る</x:v>
      </x:c>
      <x:c r="G15" s="16" t="str">
        <x:v>危険/警告</x:v>
      </x:c>
      <x:c r="H15" s="16" t="str">
        <x:v>家族失敗談＋高額＋OFF</x:v>
      </x:c>
      <x:c r="I15" s="16" t="str">
        <x:v>LINE / OFF</x:v>
      </x:c>
      <x:c r="J15" s="16" t="str">
        <x:v>家族ストーリーで強く自分事化。</x:v>
      </x:c>
      <x:c r="K15" s="16" t="str">
        <x:v>https://db.bitstar.tokyo/youtube/UCiTFHLNaMA9jZKyyHT7TRjw?content=posts</x:v>
      </x:c>
    </x:row>
    <x:row r="16">
      <x:c r="A16" s="16" t="str">
        <x:v>まいの安心スマホ教室</x:v>
      </x:c>
      <x:c r="B16" s="16" t="str">
        <x:v>2026-07-21</x:v>
      </x:c>
      <x:c r="C16" s="16" t="str">
        <x:v>Wi‑Fiが遅い原因/設定</x:v>
      </x:c>
      <x:c r="D16" s="17" t="n">
        <x:v>164645</x:v>
      </x:c>
      <x:c r="E16" s="22"/>
      <x:c r="F16" s="16" t="str">
        <x:v>整える</x:v>
      </x:c>
      <x:c r="G16" s="16" t="str">
        <x:v>容量/重い</x:v>
      </x:c>
      <x:c r="H16" s="16" t="str">
        <x:v>症状＋原因＋設定</x:v>
      </x:c>
      <x:c r="I16" s="16" t="str">
        <x:v>Wi‑Fi 遅い</x:v>
      </x:c>
      <x:c r="J16" s="16" t="str">
        <x:v>生活上の痛みが明確。</x:v>
      </x:c>
      <x:c r="K16" s="16" t="str">
        <x:v>https://db.bitstar.tokyo/youtube/UCiTFHLNaMA9jZKyyHT7TRjw?content=posts</x:v>
      </x:c>
    </x:row>
    <x:row r="17">
      <x:c r="A17" s="16" t="str">
        <x:v>まいの安心スマホ教室</x:v>
      </x:c>
      <x:c r="B17" s="16" t="str">
        <x:v>2026-07-04</x:v>
      </x:c>
      <x:c r="C17" s="16" t="str">
        <x:v>LINE乗っ取り</x:v>
      </x:c>
      <x:c r="D17" s="17" t="n">
        <x:v>337347</x:v>
      </x:c>
      <x:c r="E17" s="22"/>
      <x:c r="F17" s="16" t="str">
        <x:v>守る</x:v>
      </x:c>
      <x:c r="G17" s="16" t="str">
        <x:v>個人情報/乗っ取り</x:v>
      </x:c>
      <x:c r="H17" s="16" t="str">
        <x:v>家族が被害＋LINE＋乗っ取り</x:v>
      </x:c>
      <x:c r="I17" s="16" t="str">
        <x:v>LINE乗っ取り</x:v>
      </x:c>
      <x:c r="J17" s="16" t="str">
        <x:v>実害ストーリー＋有名アプリ。</x:v>
      </x:c>
      <x:c r="K17" s="16" t="str">
        <x:v>https://db.bitstar.tokyo/youtube/UCiTFHLNaMA9jZKyyHT7TRjw?content=posts</x:v>
      </x:c>
    </x:row>
    <x:row r="18">
      <x:c r="A18" s="16" t="str">
        <x:v>吉祥寺スマホスクール</x:v>
      </x:c>
      <x:c r="B18" s="16" t="str"/>
      <x:c r="C18" s="16" t="str">
        <x:v>スマホのマークいくつ分かる？</x:v>
      </x:c>
      <x:c r="D18" s="17" t="n">
        <x:v>2276936</x:v>
      </x:c>
      <x:c r="E18" s="22"/>
      <x:c r="F18" s="16" t="str">
        <x:v>使う</x:v>
      </x:c>
      <x:c r="G18" s="16" t="str">
        <x:v>自己診断/クイズ</x:v>
      </x:c>
      <x:c r="H18" s="16" t="str">
        <x:v>これ何個わかる？</x:v>
      </x:c>
      <x:c r="I18" s="16" t="str">
        <x:v>何個わかる？</x:v>
      </x:c>
      <x:c r="J18" s="16" t="str">
        <x:v>知識を確かめたくなる。</x:v>
      </x:c>
      <x:c r="K18" s="16" t="str">
        <x:v>https://digitalcreators.jp/channel/ja/UC4V6nX77AYklcVdMIHotOyQ/</x:v>
      </x:c>
    </x:row>
    <x:row r="19">
      <x:c r="A19" s="16" t="str">
        <x:v>吉祥寺スマホスクール</x:v>
      </x:c>
      <x:c r="B19" s="16" t="str"/>
      <x:c r="C19" s="16" t="str">
        <x:v>ストレージ初心者解説</x:v>
      </x:c>
      <x:c r="D19" s="17" t="n">
        <x:v>68187</x:v>
      </x:c>
      <x:c r="E19" s="22"/>
      <x:c r="F19" s="16" t="str">
        <x:v>整える</x:v>
      </x:c>
      <x:c r="G19" s="16" t="str">
        <x:v>容量/重い</x:v>
      </x:c>
      <x:c r="H19" s="16" t="str">
        <x:v>9割が知らない＋基本機能</x:v>
      </x:c>
      <x:c r="I19" s="16" t="str">
        <x:v>9割が知らない</x:v>
      </x:c>
      <x:c r="J19" s="16" t="str">
        <x:v>基礎を自己診断に変える。</x:v>
      </x:c>
      <x:c r="K19" s="16" t="str">
        <x:v>https://digitalcreators.jp/channel/ja/UC4V6nX77AYklcVdMIHotOyQ/</x:v>
      </x:c>
    </x:row>
    <x:row r="20">
      <x:c r="A20" s="16" t="str">
        <x:v>ひろっさん</x:v>
      </x:c>
      <x:c r="B20" s="16" t="str"/>
      <x:c r="C20" s="16" t="str">
        <x:v>2024 iPhone危険設定15+1</x:v>
      </x:c>
      <x:c r="D20" s="17" t="n">
        <x:v>1411051</x:v>
      </x:c>
      <x:c r="E20" s="22"/>
      <x:c r="F20" s="16" t="str">
        <x:v>守る</x:v>
      </x:c>
      <x:c r="G20" s="16" t="str">
        <x:v>危険/警告</x:v>
      </x:c>
      <x:c r="H20" s="16" t="str">
        <x:v>年版＋危険設定＋数字</x:v>
      </x:c>
      <x:c r="I20" s="16" t="str">
        <x:v>危険設定15+1</x:v>
      </x:c>
      <x:c r="J20" s="16" t="str">
        <x:v>年版＋数字で保存版感。</x:v>
      </x:c>
      <x:c r="K20" s="16" t="str">
        <x:v>https://yutura.net/channel/140516/</x:v>
      </x:c>
    </x:row>
    <x:row r="21">
      <x:c r="A21" s="16" t="str">
        <x:v>ひろっさん</x:v>
      </x:c>
      <x:c r="B21" s="16" t="str">
        <x:v>2026</x:v>
      </x:c>
      <x:c r="C21" s="16" t="str">
        <x:v>Google Maps AI/新機能</x:v>
      </x:c>
      <x:c r="D21" s="17" t="n">
        <x:v>64872</x:v>
      </x:c>
      <x:c r="E21" s="22"/>
      <x:c r="F21" s="16" t="str">
        <x:v>使う</x:v>
      </x:c>
      <x:c r="G21" s="16" t="str">
        <x:v>変更/新ルール</x:v>
      </x:c>
      <x:c r="H21" s="16" t="str">
        <x:v>新機能＋何ができる</x:v>
      </x:c>
      <x:c r="I21" s="16" t="str">
        <x:v>Google Maps AI</x:v>
      </x:c>
      <x:c r="J21" s="16" t="str">
        <x:v>巨大サービスの変更を中高年向けに翻訳。</x:v>
      </x:c>
      <x:c r="K21" s="16" t="str">
        <x:v>https://yutura.net/channel/140516/</x:v>
      </x:c>
    </x:row>
    <x:row r="22">
      <x:c r="A22" s="16" t="str">
        <x:v>あっちゃん教えて</x:v>
      </x:c>
      <x:c r="B22" s="16" t="str">
        <x:v>2026-07</x:v>
      </x:c>
      <x:c r="C22" s="16" t="str">
        <x:v>iPhoneストレージ/キャッシュ整理</x:v>
      </x:c>
      <x:c r="D22" s="17" t="n">
        <x:v>132190</x:v>
      </x:c>
      <x:c r="E22" s="22" t="n">
        <x:v>17.83</x:v>
      </x:c>
      <x:c r="F22" s="16" t="str">
        <x:v>整える</x:v>
      </x:c>
      <x:c r="G22" s="16" t="str">
        <x:v>容量/重い</x:v>
      </x:c>
      <x:c r="H22" s="16" t="str">
        <x:v>容量パンパン＋安全に消す</x:v>
      </x:c>
      <x:c r="I22" s="16" t="str">
        <x:v>容量不足 解決</x:v>
      </x:c>
      <x:c r="J22" s="16" t="str">
        <x:v>切迫した困りごと＋手順型。</x:v>
      </x:c>
      <x:c r="K22" s="16" t="str">
        <x:v>https://digitalcreators.jp/channel/UCds0nELWhAGEyQ93vsaeCAA/</x:v>
      </x:c>
    </x:row>
    <x:row r="23">
      <x:c r="A23" s="16" t="str">
        <x:v>あっちゃん教えて</x:v>
      </x:c>
      <x:c r="B23" s="16" t="str">
        <x:v>2026-07</x:v>
      </x:c>
      <x:c r="C23" s="16" t="str">
        <x:v>GoogleのAIデータ設定</x:v>
      </x:c>
      <x:c r="D23" s="17" t="n">
        <x:v>87130</x:v>
      </x:c>
      <x:c r="E23" s="22" t="n">
        <x:v>12.35</x:v>
      </x:c>
      <x:c r="F23" s="16" t="str">
        <x:v>AI</x:v>
      </x:c>
      <x:c r="G23" s="16" t="str">
        <x:v>AI安全</x:v>
      </x:c>
      <x:c r="H23" s="16" t="str">
        <x:v>Google＋AI＋データ利用＋確認</x:v>
      </x:c>
      <x:c r="I23" s="16" t="str">
        <x:v>AIに使われる？</x:v>
      </x:c>
      <x:c r="J23" s="16" t="str">
        <x:v>新技術不安を具体設定に。</x:v>
      </x:c>
      <x:c r="K23" s="16" t="str">
        <x:v>https://digitalcreators.jp/channel/UCds0nELWhAGEyQ93vsaeCAA/</x:v>
      </x:c>
    </x:row>
    <x:row r="24">
      <x:c r="A24" s="16" t="str">
        <x:v>あっちゃん教えて</x:v>
      </x:c>
      <x:c r="B24" s="16" t="str">
        <x:v>2026-07</x:v>
      </x:c>
      <x:c r="C24" s="16" t="str">
        <x:v>Googleルール変更/ギガ関連</x:v>
      </x:c>
      <x:c r="D24" s="17" t="n">
        <x:v>62901</x:v>
      </x:c>
      <x:c r="E24" s="22" t="n">
        <x:v>7.3</x:v>
      </x:c>
      <x:c r="F24" s="16" t="str">
        <x:v>守る</x:v>
      </x:c>
      <x:c r="G24" s="16" t="str">
        <x:v>変更/新ルール</x:v>
      </x:c>
      <x:c r="H24" s="16" t="str">
        <x:v>ルール変更＋損/通信量</x:v>
      </x:c>
      <x:c r="I24" s="16" t="str">
        <x:v>Google変更</x:v>
      </x:c>
      <x:c r="J24" s="16" t="str">
        <x:v>変更×お金/通信量は自分事化。</x:v>
      </x:c>
      <x:c r="K24" s="16" t="str">
        <x:v>https://digitalcreators.jp/channel/UCds0nELWhAGEyQ93vsaeCAA/</x:v>
      </x:c>
    </x:row>
    <x:row r="25">
      <x:c r="A25" s="16" t="str">
        <x:v>いっしょに学ぶスマホ塾</x:v>
      </x:c>
      <x:c r="B25" s="16" t="str"/>
      <x:c r="C25" s="16" t="str">
        <x:v>iPhoneの“秘密の証拠”を残す方法</x:v>
      </x:c>
      <x:c r="D25" s="17" t="n">
        <x:v>1212928</x:v>
      </x:c>
      <x:c r="E25" s="22" t="n">
        <x:v>8.67</x:v>
      </x:c>
      <x:c r="F25" s="16" t="str">
        <x:v>使う</x:v>
      </x:c>
      <x:c r="G25" s="16" t="str">
        <x:v>驚き機能</x:v>
      </x:c>
      <x:c r="H25" s="16" t="str">
        <x:v>知られていない＋具体用途</x:v>
      </x:c>
      <x:c r="I25" s="16" t="str">
        <x:v>秘密の証拠</x:v>
      </x:c>
      <x:c r="J25" s="16" t="str">
        <x:v>機能名でなく利用場面を売る。</x:v>
      </x:c>
      <x:c r="K25" s="16" t="str">
        <x:v>https://digitalcreators.jp/channel/UCyz5xq1mYBls-wNnfI1Itcw/videos/</x:v>
      </x:c>
    </x:row>
    <x:row r="26">
      <x:c r="A26" s="16" t="str">
        <x:v>いっしょに学ぶスマホ塾</x:v>
      </x:c>
      <x:c r="B26" s="16" t="str"/>
      <x:c r="C26" s="16" t="str">
        <x:v>海外旅行の翻訳アプリ</x:v>
      </x:c>
      <x:c r="D26" s="17" t="n">
        <x:v>150487</x:v>
      </x:c>
      <x:c r="E26" s="22" t="n">
        <x:v>10.55</x:v>
      </x:c>
      <x:c r="F26" s="16" t="str">
        <x:v>使う</x:v>
      </x:c>
      <x:c r="G26" s="16" t="str">
        <x:v>現実イベント/用途</x:v>
      </x:c>
      <x:c r="H26" s="16" t="str">
        <x:v>場面＋これだけでOK</x:v>
      </x:c>
      <x:c r="I26" s="16" t="str">
        <x:v>海外で使う</x:v>
      </x:c>
      <x:c r="J26" s="16" t="str">
        <x:v>旅行という強い利用場面。</x:v>
      </x:c>
      <x:c r="K26" s="16" t="str">
        <x:v>https://digitalcreators.jp/channel/UCyz5xq1mYBls-wNnfI1Itcw/videos/</x:v>
      </x:c>
    </x:row>
    <x:row r="27">
      <x:c r="A27" s="16" t="str">
        <x:v>スマホ超入門！</x:v>
      </x:c>
      <x:c r="B27" s="16" t="str">
        <x:v>2026-03</x:v>
      </x:c>
      <x:c r="C27" s="16" t="str">
        <x:v>WBCをスマホで見る方法</x:v>
      </x:c>
      <x:c r="D27" s="17" t="n">
        <x:v>104576</x:v>
      </x:c>
      <x:c r="E27" s="22"/>
      <x:c r="F27" s="16" t="str">
        <x:v>使う</x:v>
      </x:c>
      <x:c r="G27" s="16" t="str">
        <x:v>現実イベント/用途</x:v>
      </x:c>
      <x:c r="H27" s="16" t="str">
        <x:v>イベント名＋スマホ＋見る方法</x:v>
      </x:c>
      <x:c r="I27" s="16" t="str">
        <x:v>WBCを見る</x:v>
      </x:c>
      <x:c r="J27" s="16" t="str">
        <x:v>大型イベント×操作は強い。</x:v>
      </x:c>
      <x:c r="K27" s="16" t="str">
        <x:v>https://yutura.net/channel/93400/</x:v>
      </x:c>
    </x:row>
    <x:row r="28">
      <x:c r="A28" s="16" t="str">
        <x:v>スマホ超入門！</x:v>
      </x:c>
      <x:c r="B28" s="16" t="str"/>
      <x:c r="C28" s="16" t="str">
        <x:v>読めない漢字をGoogle Lensで読む</x:v>
      </x:c>
      <x:c r="D28" s="17" t="n">
        <x:v>15380</x:v>
      </x:c>
      <x:c r="E28" s="22"/>
      <x:c r="F28" s="16" t="str">
        <x:v>使う</x:v>
      </x:c>
      <x:c r="G28" s="16" t="str">
        <x:v>驚き機能</x:v>
      </x:c>
      <x:c r="H28" s="16" t="str">
        <x:v>日常の困りごと＋1機能</x:v>
      </x:c>
      <x:c r="I28" s="16" t="str">
        <x:v>読めない漢字</x:v>
      </x:c>
      <x:c r="J28" s="16" t="str">
        <x:v>年齢層の具体課題。</x:v>
      </x:c>
      <x:c r="K28" s="16" t="str">
        <x:v>https://yutura.net/channel/93400/</x:v>
      </x:c>
    </x:row>
    <x:row r="29">
      <x:c r="A29" s="16" t="str">
        <x:v>Pixel lab</x:v>
      </x:c>
      <x:c r="B29" s="16" t="str"/>
      <x:c r="C29" s="16" t="str">
        <x:v>Pixelおすすめ設定15選</x:v>
      </x:c>
      <x:c r="D29" s="17" t="n">
        <x:v>92403</x:v>
      </x:c>
      <x:c r="E29" s="22"/>
      <x:c r="F29" s="16" t="str">
        <x:v>使う</x:v>
      </x:c>
      <x:c r="G29" s="16" t="str">
        <x:v>完全ガイド</x:v>
      </x:c>
      <x:c r="H29" s="16" t="str">
        <x:v>端末名＋おすすめ設定＋数字</x:v>
      </x:c>
      <x:c r="I29" s="16" t="str">
        <x:v>設定15選</x:v>
      </x:c>
      <x:c r="J29" s="16" t="str">
        <x:v>端末特化検索資産。</x:v>
      </x:c>
      <x:c r="K29" s="16" t="str">
        <x:v>https://yutura.net/tag/1180/</x:v>
      </x:c>
    </x:row>
    <x:row r="30">
      <x:c r="A30" s="16" t="str">
        <x:v>モバイルドットコムTV</x:v>
      </x:c>
      <x:c r="B30" s="16" t="str"/>
      <x:c r="C30" s="16" t="str">
        <x:v>Androidでやってはいけない設定7選</x:v>
      </x:c>
      <x:c r="D30" s="17" t="n">
        <x:v>2316867</x:v>
      </x:c>
      <x:c r="E30" s="22"/>
      <x:c r="F30" s="16" t="str">
        <x:v>守る</x:v>
      </x:c>
      <x:c r="G30" s="16" t="str">
        <x:v>危険/警告</x:v>
      </x:c>
      <x:c r="H30" s="16" t="str">
        <x:v>Android＋やってはいけない＋数字</x:v>
      </x:c>
      <x:c r="I30" s="16" t="str">
        <x:v>危険設定7選</x:v>
      </x:c>
      <x:c r="J30" s="16" t="str">
        <x:v>防衛テーマの横断需要。</x:v>
      </x:c>
      <x:c r="K30" s="16" t="str">
        <x:v>https://digitalcreators.jp/channel/ja/UC-gVzqx-OqiA7YMx4yRkY8g/</x:v>
      </x:c>
    </x:row>
    <x:row r="31">
      <x:c r="A31" s="16" t="str">
        <x:v>なおたろ</x:v>
      </x:c>
      <x:c r="B31" s="16" t="str">
        <x:v>2026-06-14</x:v>
      </x:c>
      <x:c r="C31" s="16" t="str">
        <x:v>パソコンで知ってると便利なワザ10選！#shorts</x:v>
      </x:c>
      <x:c r="D31" s="17" t="n">
        <x:v>377289</x:v>
      </x:c>
      <x:c r="E31" s="22" t="n">
        <x:v>1</x:v>
      </x:c>
      <x:c r="F31" s="16" t="str">
        <x:v>使う</x:v>
      </x:c>
      <x:c r="G31" s="16" t="str">
        <x:v>驚き機能</x:v>
      </x:c>
      <x:c r="H31" s="16" t="str">
        <x:v>知ってると便利＋数字</x:v>
      </x:c>
      <x:c r="I31" s="16" t="str">
        <x:v>便利ワザ10</x:v>
      </x:c>
      <x:c r="J31" s="16" t="str">
        <x:v>Shortsは長尺の再利用に向く。</x:v>
      </x:c>
      <x:c r="K31" s="16" t="str">
        <x:v>https://yutura.net/channel/54086/latest/</x:v>
      </x:c>
    </x:row>
  </x:sheetData>
  <x:conditionalFormatting sqref="D2:D31">
    <x:cfRule type="dataBar" priority="1">
      <x:dataBar>
        <x:cfvo type="min"/>
        <x:cfvo type="max"/>
        <x:color rgb="FF2F855A"/>
      </x:dataBar>
      <x:extLst>
        <x:ext xmlns:x14="http://schemas.microsoft.com/office/spreadsheetml/2009/9/main" uri="{B025F937-C7B1-47D3-B67F-A62EFF666E3E}">
          <x14:id>{C2C369DC-7E67-CD1D-10F4-4B5C82B15BB0}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280b3874820459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2C369DC-7E67-CD1D-10F4-4B5C82B15BB0}">
            <x14:dataBar gradient="1">
              <x14:cfvo type="min"/>
              <x14:cfvo type="max"/>
              <x14:fillColor rgb="FF2F855A"/>
            </x14:dataBar>
          </x14:cfRule>
          <xm:sqref>D2:D31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3" hidden="0" customWidth="1"/>
    <x:col min="4" max="4" width="38" hidden="0" customWidth="1"/>
    <x:col min="5" max="5" width="44" hidden="0" customWidth="1"/>
    <x:col min="7" max="7" width="22" hidden="0" customWidth="1"/>
    <x:col min="8" max="8" width="12" hidden="0" customWidth="1"/>
    <x:col min="9" max="9" width="16" hidden="0" customWidth="1"/>
  </x:cols>
  <x:sheetData>
    <x:row r="1">
      <x:c r="A1" s="6" t="str">
        <x:v>勝ち筋</x:v>
      </x:c>
      <x:c r="B1" s="6" t="str">
        <x:v>典型タイトル構文</x:v>
      </x:c>
      <x:c r="C1" s="6" t="str">
        <x:v>伸びやすさ</x:v>
      </x:c>
      <x:c r="D1" s="6" t="str">
        <x:v>観測例</x:v>
      </x:c>
      <x:c r="E1" s="6" t="str">
        <x:v>注意</x:v>
      </x:c>
      <x:c r="F1" s="16"/>
      <x:c r="G1" s="6" t="str">
        <x:v>トリガー集計</x:v>
      </x:c>
      <x:c r="H1" s="6" t="str">
        <x:v>観測本数</x:v>
      </x:c>
      <x:c r="I1" s="6" t="str">
        <x:v>平均再生</x:v>
      </x:c>
    </x:row>
    <x:row r="2">
      <x:c r="A2" s="16" t="str">
        <x:v>危険/警告</x:v>
      </x:c>
      <x:c r="B2" s="16" t="str">
        <x:v>『やってはいけない』『今すぐ確認』『危険設定』</x:v>
      </x:c>
      <x:c r="C2" s="16" t="str">
        <x:v>高</x:v>
      </x:c>
      <x:c r="D2" s="16" t="str">
        <x:v>Chrome45万、Android231万</x:v>
      </x:c>
      <x:c r="E2" s="16" t="str">
        <x:v>事実以上に怖がらせない。条件を明示。</x:v>
      </x:c>
      <x:c r="F2" s="16"/>
      <x:c r="G2" s="16" t="str">
        <x:v>危険/警告</x:v>
      </x:c>
      <x:c r="H2" s="16" t="n">
        <x:f>COUNTIF('02_バズ動画'!$G$2:$G$31,G2)</x:f>
        <x:v>5</x:v>
      </x:c>
      <x:c r="I2" s="17" t="n">
        <x:f>IFERROR(SUMIF('02_バズ動画'!$G$2:$G$31,G2,'02_バズ動画'!$D$2:$D$31)/H2,0)</x:f>
        <x:v>1110443.2</x:v>
      </x:c>
    </x:row>
    <x:row r="3">
      <x:c r="A3" s="16" t="str">
        <x:v>個人情報/乗っ取り</x:v>
      </x:c>
      <x:c r="B3" s="16" t="str">
        <x:v>『勝手に』『抜かれる』『乗っ取りのサイン』</x:v>
      </x:c>
      <x:c r="C3" s="16" t="str">
        <x:v>非常に高</x:v>
      </x:c>
      <x:c r="D3" s="16" t="str">
        <x:v>LINE387万、乗っ取り60万</x:v>
      </x:c>
      <x:c r="E3" s="16" t="str">
        <x:v>公開/収集/利用を区別。</x:v>
      </x:c>
      <x:c r="F3" s="16"/>
      <x:c r="G3" s="16" t="str">
        <x:v>個人情報/乗っ取り</x:v>
      </x:c>
      <x:c r="H3" s="16" t="n">
        <x:f>COUNTIF('02_バズ動画'!$G$2:$G$31,G3)</x:f>
        <x:v>4</x:v>
      </x:c>
      <x:c r="I3" s="17" t="n">
        <x:f>IFERROR(SUMIF('02_バズ動画'!$G$2:$G$31,G3,'02_バズ動画'!$D$2:$D$31)/H3,0)</x:f>
        <x:v>1328033</x:v>
      </x:c>
    </x:row>
    <x:row r="4">
      <x:c r="A4" s="16" t="str">
        <x:v>変更/新ルール</x:v>
      </x:c>
      <x:c r="B4" s="16" t="str">
        <x:v>『○月○日から変更』『何が変わる？』</x:v>
      </x:c>
      <x:c r="C4" s="16" t="str">
        <x:v>高</x:v>
      </x:c>
      <x:c r="D4" s="16" t="str">
        <x:v>Google43〜59万</x:v>
      </x:c>
      <x:c r="E4" s="16" t="str">
        <x:v>一次情報の日付を冒頭表示。</x:v>
      </x:c>
      <x:c r="F4" s="16"/>
      <x:c r="G4" s="16" t="str">
        <x:v>変更/新ルール</x:v>
      </x:c>
      <x:c r="H4" s="16" t="n">
        <x:f>COUNTIF('02_バズ動画'!$G$2:$G$31,G4)</x:f>
        <x:v>5</x:v>
      </x:c>
      <x:c r="I4" s="17" t="n">
        <x:f>IFERROR(SUMIF('02_バズ動画'!$G$2:$G$31,G4,'02_バズ動画'!$D$2:$D$31)/H4,0)</x:f>
        <x:v>282609.4</x:v>
      </x:c>
    </x:row>
    <x:row r="5">
      <x:c r="A5" s="16" t="str">
        <x:v>容量/重い</x:v>
      </x:c>
      <x:c r="B5" s="16" t="str">
        <x:v>『重い人』『写真を消す前に』『容量パンパン』</x:v>
      </x:c>
      <x:c r="C5" s="16" t="str">
        <x:v>高</x:v>
      </x:c>
      <x:c r="D5" s="16" t="str">
        <x:v>LINE整理144万</x:v>
      </x:c>
      <x:c r="E5" s="16" t="str">
        <x:v>データ消失を避ける順番を示す。</x:v>
      </x:c>
      <x:c r="F5" s="16"/>
      <x:c r="G5" s="16" t="str">
        <x:v>容量/重い</x:v>
      </x:c>
      <x:c r="H5" s="16" t="n">
        <x:f>COUNTIF('02_バズ動画'!$G$2:$G$31,G5)</x:f>
        <x:v>5</x:v>
      </x:c>
      <x:c r="I5" s="17" t="n">
        <x:f>IFERROR(SUMIF('02_バズ動画'!$G$2:$G$31,G5,'02_バズ動画'!$D$2:$D$31)/H5,0)</x:f>
        <x:v>528200.6</x:v>
      </x:c>
    </x:row>
    <x:row r="6">
      <x:c r="A6" s="16" t="str">
        <x:v>違い/誤解</x:v>
      </x:c>
      <x:c r="B6" s="16" t="str">
        <x:v>『AとBの決定的な違い』『それ誤解です』</x:v>
      </x:c>
      <x:c r="C6" s="16" t="str">
        <x:v>非常に高</x:v>
      </x:c>
      <x:c r="D6" s="16" t="str">
        <x:v>Google vs Chrome489万</x:v>
      </x:c>
      <x:c r="E6" s="16" t="str">
        <x:v>初心者が混同する概念を狙う。</x:v>
      </x:c>
      <x:c r="F6" s="16"/>
      <x:c r="G6" s="16" t="str">
        <x:v>違い/誤解</x:v>
      </x:c>
      <x:c r="H6" s="16" t="n">
        <x:f>COUNTIF('02_バズ動画'!$G$2:$G$31,G6)</x:f>
        <x:v>1</x:v>
      </x:c>
      <x:c r="I6" s="17" t="n">
        <x:f>IFERROR(SUMIF('02_バズ動画'!$G$2:$G$31,G6,'02_バズ動画'!$D$2:$D$31)/H6,0)</x:f>
        <x:v>4892947</x:v>
      </x:c>
    </x:row>
    <x:row r="7">
      <x:c r="A7" s="16" t="str">
        <x:v>驚き機能</x:v>
      </x:c>
      <x:c r="B7" s="16" t="str">
        <x:v>『知られていない』『こんなことできる』</x:v>
      </x:c>
      <x:c r="C7" s="16" t="str">
        <x:v>高</x:v>
      </x:c>
      <x:c r="D7" s="16" t="str">
        <x:v>秘密の証拠121万</x:v>
      </x:c>
      <x:c r="E7" s="16" t="str">
        <x:v>機能名より利用場面を売る。</x:v>
      </x:c>
      <x:c r="F7" s="16"/>
      <x:c r="G7" s="16" t="str">
        <x:v>驚き機能</x:v>
      </x:c>
      <x:c r="H7" s="16" t="n">
        <x:f>COUNTIF('02_バズ動画'!$G$2:$G$31,G7)</x:f>
        <x:v>3</x:v>
      </x:c>
      <x:c r="I7" s="17" t="n">
        <x:f>IFERROR(SUMIF('02_バズ動画'!$G$2:$G$31,G7,'02_バズ動画'!$D$2:$D$31)/H7,0)</x:f>
        <x:v>535199</x:v>
      </x:c>
    </x:row>
    <x:row r="8">
      <x:c r="A8" s="16" t="str">
        <x:v>現実イベント/用途</x:v>
      </x:c>
      <x:c r="B8" s="16" t="str">
        <x:v>『WBCを見る』『海外旅行で使う』</x:v>
      </x:c>
      <x:c r="C8" s="16" t="str">
        <x:v>中〜高</x:v>
      </x:c>
      <x:c r="D8" s="16" t="str">
        <x:v>WBC10万、翻訳15万</x:v>
      </x:c>
      <x:c r="E8" s="16" t="str">
        <x:v>旬が短い。月1本程度。</x:v>
      </x:c>
      <x:c r="F8" s="16"/>
      <x:c r="G8" s="16" t="str">
        <x:v>現実イベント/用途</x:v>
      </x:c>
      <x:c r="H8" s="16" t="n">
        <x:f>COUNTIF('02_バズ動画'!$G$2:$G$31,G8)</x:f>
        <x:v>2</x:v>
      </x:c>
      <x:c r="I8" s="17" t="n">
        <x:f>IFERROR(SUMIF('02_バズ動画'!$G$2:$G$31,G8,'02_バズ動画'!$D$2:$D$31)/H8,0)</x:f>
        <x:v>127531.5</x:v>
      </x:c>
    </x:row>
    <x:row r="9">
      <x:c r="A9" s="16" t="str">
        <x:v>検証/デマ</x:v>
      </x:c>
      <x:c r="B9" s="16" t="str">
        <x:v>『その噂、本当？』『公式情報で検証』</x:v>
      </x:c>
      <x:c r="C9" s="16" t="str">
        <x:v>今後有望</x:v>
      </x:c>
      <x:c r="D9" s="16" t="str">
        <x:v>LINE噂検証3万（公開直後）</x:v>
      </x:c>
      <x:c r="E9" s="16" t="str">
        <x:v>信頼差別化の主軸候補。</x:v>
      </x:c>
      <x:c r="F9" s="16"/>
      <x:c r="G9" s="16" t="str">
        <x:v>検証/デマ</x:v>
      </x:c>
      <x:c r="H9" s="16" t="n">
        <x:f>COUNTIF('02_バズ動画'!$G$2:$G$31,G9)</x:f>
        <x:v>1</x:v>
      </x:c>
      <x:c r="I9" s="17" t="n">
        <x:f>IFERROR(SUMIF('02_バズ動画'!$G$2:$G$31,G9,'02_バズ動画'!$D$2:$D$31)/H9,0)</x:f>
        <x:v>30185</x:v>
      </x:c>
    </x:row>
    <x:row r="10">
      <x:c r="A10" s="16" t="str">
        <x:v>完全ガイド</x:v>
      </x:c>
      <x:c r="B10" s="16" t="str">
        <x:v>『初心者向け』『保存版』『完全ガイド』</x:v>
      </x:c>
      <x:c r="C10" s="16" t="str">
        <x:v>検索に強い</x:v>
      </x:c>
      <x:c r="D10" s="16" t="str">
        <x:v>LINE完全ガイド14万</x:v>
      </x:c>
      <x:c r="E10" s="16" t="str">
        <x:v>初期は8〜15分推奨。</x:v>
      </x:c>
      <x:c r="F10" s="16"/>
      <x:c r="G10" s="16" t="str">
        <x:v>完全ガイド</x:v>
      </x:c>
      <x:c r="H10" s="16" t="n">
        <x:f>COUNTIF('02_バズ動画'!$G$2:$G$31,G10)</x:f>
        <x:v>1</x:v>
      </x:c>
      <x:c r="I10" s="17" t="n">
        <x:f>IFERROR(SUMIF('02_バズ動画'!$G$2:$G$31,G10,'02_バズ動画'!$D$2:$D$31)/H10,0)</x:f>
        <x:v>92403</x:v>
      </x:c>
    </x:row>
    <x:row r="11">
      <x:c r="A11" s="16" t="str">
        <x:v>AI安全</x:v>
      </x:c>
      <x:c r="B11" s="16" t="str">
        <x:v>『AIに入れてはいけない』『データ設定』</x:v>
      </x:c>
      <x:c r="C11" s="16" t="str">
        <x:v>成長中</x:v>
      </x:c>
      <x:c r="D11" s="16" t="str">
        <x:v>Google AIデータ8.7万</x:v>
      </x:c>
      <x:c r="E11" s="16" t="str">
        <x:v>公式仕様ベース。</x:v>
      </x:c>
      <x:c r="F11" s="16"/>
      <x:c r="G11" s="16" t="str">
        <x:v>AI安全</x:v>
      </x:c>
      <x:c r="H11" s="16" t="n">
        <x:f>COUNTIF('02_バズ動画'!$G$2:$G$31,G11)</x:f>
        <x:v>1</x:v>
      </x:c>
      <x:c r="I11" s="17" t="n">
        <x:f>IFERROR(SUMIF('02_バズ動画'!$G$2:$G$31,G11,'02_バズ動画'!$D$2:$D$31)/H11,0)</x:f>
        <x:v>87130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" hidden="0" customWidth="1"/>
    <x:col min="3" max="3" width="52" hidden="0" customWidth="1"/>
    <x:col min="4" max="4" width="22" hidden="0" customWidth="1"/>
    <x:col min="5" max="5" width="11" hidden="0" customWidth="1"/>
    <x:col min="6" max="6" width="42" hidden="0" customWidth="1"/>
    <x:col min="7" max="7" width="38" hidden="0" customWidth="1"/>
    <x:col min="8" max="8" width="42" hidden="0" customWidth="1"/>
    <x:col min="9" max="9" width="20" hidden="0" customWidth="1"/>
    <x:col min="10" max="10" width="13" hidden="0" customWidth="1"/>
    <x:col min="11" max="11" width="9" hidden="0" customWidth="1"/>
    <x:col min="12" max="12" width="9" hidden="0" customWidth="1"/>
    <x:col min="13" max="13" width="9" hidden="0" customWidth="1"/>
    <x:col min="14" max="14" width="12" hidden="0" customWidth="1"/>
    <x:col min="15" max="15" width="12" hidden="0" customWidth="1"/>
  </x:cols>
  <x:sheetData>
    <x:row r="1">
      <x:c r="A1" s="6" t="str">
        <x:v>No</x:v>
      </x:c>
      <x:c r="B1" s="6" t="str">
        <x:v>柱</x:v>
      </x:c>
      <x:c r="C1" s="6" t="str">
        <x:v>仮タイトル</x:v>
      </x:c>
      <x:c r="D1" s="6" t="str">
        <x:v>サムネ短文</x:v>
      </x:c>
      <x:c r="E1" s="6" t="str">
        <x:v>目標尺(分)</x:v>
      </x:c>
      <x:c r="F1" s="6" t="str">
        <x:v>冒頭20秒</x:v>
      </x:c>
      <x:c r="G1" s="6" t="str">
        <x:v>一次情報/証拠</x:v>
      </x:c>
      <x:c r="H1" s="6" t="str">
        <x:v>差別化ポイント</x:v>
      </x:c>
      <x:c r="I1" s="6" t="str">
        <x:v>狙い</x:v>
      </x:c>
      <x:c r="J1" s="6" t="str">
        <x:v>公開予定</x:v>
      </x:c>
      <x:c r="K1" s="6" t="str">
        <x:v>期待度</x:v>
      </x:c>
      <x:c r="L1" s="6" t="str">
        <x:v>長寿命</x:v>
      </x:c>
      <x:c r="M1" s="6" t="str">
        <x:v>リスク</x:v>
      </x:c>
      <x:c r="N1" s="6" t="str">
        <x:v>優先スコア</x:v>
      </x:c>
      <x:c r="O1" s="6" t="str">
        <x:v>状態</x:v>
      </x:c>
    </x:row>
    <x:row r="2">
      <x:c r="A2" s="16" t="n">
        <x:v>1</x:v>
      </x:c>
      <x:c r="B2" s="16" t="str">
        <x:v>守る</x:v>
      </x:c>
      <x:c r="C2" s="16" t="str">
        <x:v>【全員確認】Googleアカウント、乗っ取られる前に見るべき5項目｜10分で安全点検</x:v>
      </x:c>
      <x:c r="D2" s="16" t="str">
        <x:v>Google 5項目だけ</x:v>
      </x:c>
      <x:c r="E2" s="16" t="n">
        <x:v>10</x:v>
      </x:c>
      <x:c r="F2" s="16" t="str">
        <x:v>『パスワードを変えれば安心』ではありません。まずこの5画面を一緒に確認します。</x:v>
      </x:c>
      <x:c r="G2" s="16" t="str">
        <x:v>Google公式ヘルプ＋実機画面</x:v>
      </x:c>
      <x:c r="H2" s="16" t="str">
        <x:v>『5項目を一緒に点検』。設定理由も1項目ずつ説明。</x:v>
      </x:c>
      <x:c r="I2" s="16" t="str">
        <x:v>ブラウズ＋検索の基準動画</x:v>
      </x:c>
      <x:c r="J2" s="26" t="n">
        <x:v>46266</x:v>
      </x:c>
      <x:c r="K2" s="16" t="n">
        <x:v>5</x:v>
      </x:c>
      <x:c r="L2" s="16" t="n">
        <x:v>5</x:v>
      </x:c>
      <x:c r="M2" s="16" t="n">
        <x:v>1</x:v>
      </x:c>
      <x:c r="N2" s="16" t="n">
        <x:f>K2*2+L2-M2</x:f>
        <x:v>14</x:v>
      </x:c>
      <x:c r="O2" s="16" t="str">
        <x:v>未着手</x:v>
      </x:c>
    </x:row>
    <x:row r="3">
      <x:c r="A3" s="16" t="n">
        <x:v>2</x:v>
      </x:c>
      <x:c r="B3" s="16" t="str">
        <x:v>守る</x:v>
      </x:c>
      <x:c r="C3" s="16" t="str">
        <x:v>LINEの『青い日付で高額請求』は本当？バズっている噂を公式情報と実機で検証</x:v>
      </x:c>
      <x:c r="D3" s="16" t="str">
        <x:v>その噂、本当？</x:v>
      </x:c>
      <x:c r="E3" s="16" t="n">
        <x:v>9</x:v>
      </x:c>
      <x:c r="F3" s="16" t="str">
        <x:v>結論を先に言います。高額請求の噂と、本当に確認すべき設定は別です。</x:v>
      </x:c>
      <x:c r="G3" s="16" t="str">
        <x:v>LINE公式ヘルプ＋実機＋必要なら通信会社公式</x:v>
      </x:c>
      <x:c r="H3" s="16" t="str">
        <x:v>競合が煽るテーマを『公式確認済み』で逆張り。</x:v>
      </x:c>
      <x:c r="I3" s="16" t="str">
        <x:v>差別化/信頼獲得</x:v>
      </x:c>
      <x:c r="J3" s="26" t="n">
        <x:v>46269</x:v>
      </x:c>
      <x:c r="K3" s="16" t="n">
        <x:v>5</x:v>
      </x:c>
      <x:c r="L3" s="16" t="n">
        <x:v>2</x:v>
      </x:c>
      <x:c r="M3" s="16" t="n">
        <x:v>1</x:v>
      </x:c>
      <x:c r="N3" s="16" t="n">
        <x:f>K3*2+L3-M3</x:f>
        <x:v>11</x:v>
      </x:c>
      <x:c r="O3" s="16" t="str">
        <x:v>未着手</x:v>
      </x:c>
    </x:row>
    <x:row r="4">
      <x:c r="A4" s="16" t="n">
        <x:v>3</x:v>
      </x:c>
      <x:c r="B4" s="16" t="str">
        <x:v>整える</x:v>
      </x:c>
      <x:c r="C4" s="16" t="str">
        <x:v>スマホが重い人、写真を消す前に。LINE・Chrome/Safariの安全な容量整理</x:v>
      </x:c>
      <x:c r="D4" s="16" t="str">
        <x:v>写真は消さない</x:v>
      </x:c>
      <x:c r="E4" s="16" t="n">
        <x:v>11</x:v>
      </x:c>
      <x:c r="F4" s="16" t="str">
        <x:v>写真を消す前に、もっと安全に減らせる場所があります。</x:v>
      </x:c>
      <x:c r="G4" s="16" t="str">
        <x:v>Apple/Google/LINE公式＋実機</x:v>
      </x:c>
      <x:c r="H4" s="16" t="str">
        <x:v>『消す』ではなく安全な順番。iPhone/Android両方。</x:v>
      </x:c>
      <x:c r="I4" s="16" t="str">
        <x:v>強い痛み需要</x:v>
      </x:c>
      <x:c r="J4" s="26" t="n">
        <x:v>46273</x:v>
      </x:c>
      <x:c r="K4" s="16" t="n">
        <x:v>5</x:v>
      </x:c>
      <x:c r="L4" s="16" t="n">
        <x:v>5</x:v>
      </x:c>
      <x:c r="M4" s="16" t="n">
        <x:v>1</x:v>
      </x:c>
      <x:c r="N4" s="16" t="n">
        <x:f>K4*2+L4-M4</x:f>
        <x:v>14</x:v>
      </x:c>
      <x:c r="O4" s="16" t="str">
        <x:v>未着手</x:v>
      </x:c>
    </x:row>
    <x:row r="5">
      <x:c r="A5" s="16" t="n">
        <x:v>4</x:v>
      </x:c>
      <x:c r="B5" s="16" t="str">
        <x:v>守る</x:v>
      </x:c>
      <x:c r="C5" s="16" t="str">
        <x:v>詐欺電話を減らす設定｜国際電話・知らない番号・ニセ警察を家族で対策</x:v>
      </x:c>
      <x:c r="D5" s="16" t="str">
        <x:v>詐欺電話を減らす</x:v>
      </x:c>
      <x:c r="E5" s="16" t="n">
        <x:v>12</x:v>
      </x:c>
      <x:c r="F5" s="16" t="str">
        <x:v>2026年上半期、特殊詐欺被害は1,816億円。スマホ側で減らせる入口から潰します。</x:v>
      </x:c>
      <x:c r="G5" s="16" t="str">
        <x:v>警察庁＋各OS/通信会社公式＋実機</x:v>
      </x:c>
      <x:c r="H5" s="16" t="str">
        <x:v>被害統計→具体設定。家族に送れる動画。</x:v>
      </x:c>
      <x:c r="I5" s="16" t="str">
        <x:v>社会需要＋共有</x:v>
      </x:c>
      <x:c r="J5" s="26" t="n">
        <x:v>46276</x:v>
      </x:c>
      <x:c r="K5" s="16" t="n">
        <x:v>5</x:v>
      </x:c>
      <x:c r="L5" s="16" t="n">
        <x:v>5</x:v>
      </x:c>
      <x:c r="M5" s="16" t="n">
        <x:v>1</x:v>
      </x:c>
      <x:c r="N5" s="16" t="n">
        <x:f>K5*2+L5-M5</x:f>
        <x:v>14</x:v>
      </x:c>
      <x:c r="O5" s="16" t="str">
        <x:v>未着手</x:v>
      </x:c>
    </x:row>
    <x:row r="6">
      <x:c r="A6" s="16" t="n">
        <x:v>5</x:v>
      </x:c>
      <x:c r="B6" s="16" t="str">
        <x:v>使う</x:v>
      </x:c>
      <x:c r="C6" s="16" t="str">
        <x:v>マイナポータルアプリが『マイナアプリ』に変更｜何が変わった？何をすればいい？</x:v>
      </x:c>
      <x:c r="D6" s="16" t="str">
        <x:v>8/25 何が変わった？</x:v>
      </x:c>
      <x:c r="E6" s="16" t="n">
        <x:v>9</x:v>
      </x:c>
      <x:c r="F6" s="16" t="str">
        <x:v>名前が変わりました。でも、全員が何か設定し直す必要があるわけではありません。</x:v>
      </x:c>
      <x:c r="G6" s="16" t="str">
        <x:v>デジタル庁（2026-08-25）＋実機</x:v>
      </x:c>
      <x:c r="H6" s="16" t="str">
        <x:v>ニュース読み上げでなく『やる/不要』を整理。</x:v>
      </x:c>
      <x:c r="I6" s="16" t="str">
        <x:v>時事トレンド枠</x:v>
      </x:c>
      <x:c r="J6" s="26" t="n">
        <x:v>46280</x:v>
      </x:c>
      <x:c r="K6" s="16" t="n">
        <x:v>4</x:v>
      </x:c>
      <x:c r="L6" s="16" t="n">
        <x:v>2</x:v>
      </x:c>
      <x:c r="M6" s="16" t="n">
        <x:v>1</x:v>
      </x:c>
      <x:c r="N6" s="16" t="n">
        <x:f>K6*2+L6-M6</x:f>
        <x:v>9</x:v>
      </x:c>
      <x:c r="O6" s="16" t="str">
        <x:v>未着手</x:v>
      </x:c>
    </x:row>
    <x:row r="7">
      <x:c r="A7" s="16" t="n">
        <x:v>6</x:v>
      </x:c>
      <x:c r="B7" s="16" t="str">
        <x:v>守る</x:v>
      </x:c>
      <x:c r="C7" s="16" t="str">
        <x:v>Googleマップで自宅や行動履歴はどこまで見える？位置情報を一緒に点検</x:v>
      </x:c>
      <x:c r="D7" s="16" t="str">
        <x:v>自宅、見えてない？</x:v>
      </x:c>
      <x:c r="E7" s="16" t="n">
        <x:v>10</x:v>
      </x:c>
      <x:c r="F7" s="16" t="str">
        <x:v>『Googleマップを使う＝自宅公開』ではありません。公開と記録を分けて確認します。</x:v>
      </x:c>
      <x:c r="G7" s="16" t="str">
        <x:v>Google公式＋実機</x:v>
      </x:c>
      <x:c r="H7" s="16" t="str">
        <x:v>誤解を解きながら必要設定だけ。</x:v>
      </x:c>
      <x:c r="I7" s="16" t="str">
        <x:v>プライバシー需要</x:v>
      </x:c>
      <x:c r="J7" s="26" t="n">
        <x:v>46283</x:v>
      </x:c>
      <x:c r="K7" s="16" t="n">
        <x:v>5</x:v>
      </x:c>
      <x:c r="L7" s="16" t="n">
        <x:v>4</x:v>
      </x:c>
      <x:c r="M7" s="16" t="n">
        <x:v>1</x:v>
      </x:c>
      <x:c r="N7" s="16" t="n">
        <x:f>K7*2+L7-M7</x:f>
        <x:v>13</x:v>
      </x:c>
      <x:c r="O7" s="16" t="str">
        <x:v>未着手</x:v>
      </x:c>
    </x:row>
    <x:row r="8">
      <x:c r="A8" s="16" t="n">
        <x:v>7</x:v>
      </x:c>
      <x:c r="B8" s="16" t="str">
        <x:v>AI</x:v>
      </x:c>
      <x:c r="C8" s="16" t="str">
        <x:v>ChatGPT・Geminiに入れてはいけない情報5つ｜写真・住所・通帳はどこまでOK？</x:v>
      </x:c>
      <x:c r="D8" s="16" t="str">
        <x:v>AIに入れない5つ</x:v>
      </x:c>
      <x:c r="E8" s="16" t="n">
        <x:v>11</x:v>
      </x:c>
      <x:c r="F8" s="16" t="str">
        <x:v>AIを怖がる必要はありません。ただ、入れない方がいい情報は決めておくと安心です。</x:v>
      </x:c>
      <x:c r="G8" s="16" t="str">
        <x:v>OpenAI/Google公式プライバシー</x:v>
      </x:c>
      <x:c r="H8" s="16" t="str">
        <x:v>AI万能論でなく公式仕様を生活者向けに翻訳。</x:v>
      </x:c>
      <x:c r="I8" s="16" t="str">
        <x:v>新規需要＋差別化</x:v>
      </x:c>
      <x:c r="J8" s="26" t="n">
        <x:v>46287</x:v>
      </x:c>
      <x:c r="K8" s="16" t="n">
        <x:v>5</x:v>
      </x:c>
      <x:c r="L8" s="16" t="n">
        <x:v>4</x:v>
      </x:c>
      <x:c r="M8" s="16" t="n">
        <x:v>1</x:v>
      </x:c>
      <x:c r="N8" s="16" t="n">
        <x:f>K8*2+L8-M8</x:f>
        <x:v>13</x:v>
      </x:c>
      <x:c r="O8" s="16" t="str">
        <x:v>未着手</x:v>
      </x:c>
    </x:row>
    <x:row r="9">
      <x:c r="A9" s="16" t="n">
        <x:v>8</x:v>
      </x:c>
      <x:c r="B9" s="16" t="str">
        <x:v>整える</x:v>
      </x:c>
      <x:c r="C9" s="16" t="str">
        <x:v>大事な写真を失う前に｜iCloudとGoogleフォト『同期とバックアップ』の違いを実演</x:v>
      </x:c>
      <x:c r="D9" s="16" t="str">
        <x:v>同期≠バックアップ</x:v>
      </x:c>
      <x:c r="E9" s="16" t="n">
        <x:v>12</x:v>
      </x:c>
      <x:c r="F9" s="16" t="str">
        <x:v>『クラウドにあるから安心』と思って消すと、消えるケースがあります。</x:v>
      </x:c>
      <x:c r="G9" s="16" t="str">
        <x:v>Apple/Google公式＋実機2台</x:v>
      </x:c>
      <x:c r="H9" s="16" t="str">
        <x:v>実際に削除/同期挙動を見せる。</x:v>
      </x:c>
      <x:c r="I9" s="16" t="str">
        <x:v>検索資産/高信頼</x:v>
      </x:c>
      <x:c r="J9" s="26" t="n">
        <x:v>46290</x:v>
      </x:c>
      <x:c r="K9" s="16" t="n">
        <x:v>5</x:v>
      </x:c>
      <x:c r="L9" s="16" t="n">
        <x:v>5</x:v>
      </x:c>
      <x:c r="M9" s="16" t="n">
        <x:v>1</x:v>
      </x:c>
      <x:c r="N9" s="16" t="n">
        <x:f>K9*2+L9-M9</x:f>
        <x:v>14</x:v>
      </x:c>
      <x:c r="O9" s="16" t="str">
        <x:v>未着手</x:v>
      </x:c>
    </x:row>
    <x:row r="10">
      <x:c r="A10" s="16" t="n">
        <x:v>9</x:v>
      </x:c>
      <x:c r="B10" s="16" t="str">
        <x:v>整える</x:v>
      </x:c>
      <x:c r="C10" s="16" t="str">
        <x:v>機種変更の前日にやること7つ｜LINE・写真・認証アプリ・パスワード</x:v>
      </x:c>
      <x:c r="D10" s="16" t="str">
        <x:v>機種変 前日7つ</x:v>
      </x:c>
      <x:c r="E10" s="16" t="n">
        <x:v>13</x:v>
      </x:c>
      <x:c r="F10" s="16" t="str">
        <x:v>ショップに行く前にこの7つだけ確認すると、移行トラブルをかなり減らせます。</x:v>
      </x:c>
      <x:c r="G10" s="16" t="str">
        <x:v>Apple/Google/LINE公式</x:v>
      </x:c>
      <x:c r="H10" s="16" t="str">
        <x:v>『失うと困るもの』順のチェックリスト。</x:v>
      </x:c>
      <x:c r="I10" s="16" t="str">
        <x:v>保存/検索需要</x:v>
      </x:c>
      <x:c r="J10" s="26" t="n">
        <x:v>46294</x:v>
      </x:c>
      <x:c r="K10" s="16" t="n">
        <x:v>5</x:v>
      </x:c>
      <x:c r="L10" s="16" t="n">
        <x:v>5</x:v>
      </x:c>
      <x:c r="M10" s="16" t="n">
        <x:v>1</x:v>
      </x:c>
      <x:c r="N10" s="16" t="n">
        <x:f>K10*2+L10-M10</x:f>
        <x:v>14</x:v>
      </x:c>
      <x:c r="O10" s="16" t="str">
        <x:v>未着手</x:v>
      </x:c>
    </x:row>
    <x:row r="11">
      <x:c r="A11" s="16" t="n">
        <x:v>10</x:v>
      </x:c>
      <x:c r="B11" s="16" t="str">
        <x:v>守る</x:v>
      </x:c>
      <x:c r="C11" s="16" t="str">
        <x:v>スマホをなくしたら最初の10分でやること｜PayPay・カード・Google/Apple</x:v>
      </x:c>
      <x:c r="D11" s="16" t="str">
        <x:v>なくしたら10分</x:v>
      </x:c>
      <x:c r="E11" s="16" t="n">
        <x:v>10</x:v>
      </x:c>
      <x:c r="F11" s="16" t="str">
        <x:v>探すより先に止めるものがあります。順番を画面で見せます。</x:v>
      </x:c>
      <x:c r="G11" s="16" t="str">
        <x:v>Apple/Google/PayPay/カード会社公式</x:v>
      </x:c>
      <x:c r="H11" s="16" t="str">
        <x:v>金融助言でなく紛失時の安全手順。</x:v>
      </x:c>
      <x:c r="I11" s="16" t="str">
        <x:v>高意図/保存</x:v>
      </x:c>
      <x:c r="J11" s="26" t="n">
        <x:v>46297</x:v>
      </x:c>
      <x:c r="K11" s="16" t="n">
        <x:v>5</x:v>
      </x:c>
      <x:c r="L11" s="16" t="n">
        <x:v>5</x:v>
      </x:c>
      <x:c r="M11" s="16" t="n">
        <x:v>2</x:v>
      </x:c>
      <x:c r="N11" s="16" t="n">
        <x:f>K11*2+L11-M11</x:f>
        <x:v>13</x:v>
      </x:c>
      <x:c r="O11" s="16" t="str">
        <x:v>未着手</x:v>
      </x:c>
    </x:row>
    <x:row r="12">
      <x:c r="A12" s="16" t="n">
        <x:v>11</x:v>
      </x:c>
      <x:c r="B12" s="16" t="str">
        <x:v>使う</x:v>
      </x:c>
      <x:c r="C12" s="16" t="str">
        <x:v>50代からのChatGPT超入門｜検索より便利な3つの使い方＋やってはいけない1つ</x:v>
      </x:c>
      <x:c r="D12" s="16" t="str">
        <x:v>まずこの3つ</x:v>
      </x:c>
      <x:c r="E12" s="16" t="n">
        <x:v>10</x:v>
      </x:c>
      <x:c r="F12" s="16" t="str">
        <x:v>難しいプロンプトは不要です。今日から使える3つだけ試します。</x:v>
      </x:c>
      <x:c r="G12" s="16" t="str">
        <x:v>OpenAI公式＋実演</x:v>
      </x:c>
      <x:c r="H12" s="16" t="str">
        <x:v>生活用途に限定。安全注意を1つセット。</x:v>
      </x:c>
      <x:c r="I12" s="16" t="str">
        <x:v>新規層拡張</x:v>
      </x:c>
      <x:c r="J12" s="26" t="n">
        <x:v>46301</x:v>
      </x:c>
      <x:c r="K12" s="16" t="n">
        <x:v>4</x:v>
      </x:c>
      <x:c r="L12" s="16" t="n">
        <x:v>4</x:v>
      </x:c>
      <x:c r="M12" s="16" t="n">
        <x:v>1</x:v>
      </x:c>
      <x:c r="N12" s="16" t="n">
        <x:f>K12*2+L12-M12</x:f>
        <x:v>11</x:v>
      </x:c>
      <x:c r="O12" s="16" t="str">
        <x:v>未着手</x:v>
      </x:c>
    </x:row>
    <x:row r="13">
      <x:c r="A13" s="16" t="n">
        <x:v>12</x:v>
      </x:c>
      <x:c r="B13" s="16" t="str">
        <x:v>守る</x:v>
      </x:c>
      <x:c r="C13" s="16" t="str">
        <x:v>【保存版】スマホ安心点検15分｜これだけ見れば最低限OK（iPhone/Android）</x:v>
      </x:c>
      <x:c r="D13" s="16" t="str">
        <x:v>15分 安心点検</x:v>
      </x:c>
      <x:c r="E13" s="16" t="n">
        <x:v>15</x:v>
      </x:c>
      <x:c r="F13" s="16" t="str">
        <x:v>これまでの内容を、家族と一緒に15分で確認できる順番にまとめます。</x:v>
      </x:c>
      <x:c r="G13" s="16" t="str">
        <x:v>過去11本＋Apple/Google/LINE/警察庁</x:v>
      </x:c>
      <x:c r="H13" s="16" t="str">
        <x:v>OS別チェックリスト＋最新確認日。</x:v>
      </x:c>
      <x:c r="I13" s="16" t="str">
        <x:v>チャンネル代表作</x:v>
      </x:c>
      <x:c r="J13" s="26" t="n">
        <x:v>46304</x:v>
      </x:c>
      <x:c r="K13" s="16" t="n">
        <x:v>5</x:v>
      </x:c>
      <x:c r="L13" s="16" t="n">
        <x:v>5</x:v>
      </x:c>
      <x:c r="M13" s="16" t="n">
        <x:v>1</x:v>
      </x:c>
      <x:c r="N13" s="16" t="n">
        <x:f>K13*2+L13-M13</x:f>
        <x:v>14</x:v>
      </x:c>
      <x:c r="O13" s="16" t="str">
        <x:v>未着手</x:v>
      </x:c>
    </x:row>
  </x:sheetData>
  <x:conditionalFormatting sqref="N2:N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O2:O13">
      <x:formula1>"未着手,調査中,台本中,収録済,編集済,公開済"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4246a43d8748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52" hidden="0" customWidth="1"/>
    <x:col min="5" max="5" width="18" hidden="0" customWidth="1"/>
    <x:col min="6" max="6" width="36" hidden="0" customWidth="1"/>
    <x:col min="7" max="7" width="26" hidden="0" customWidth="1"/>
    <x:col min="8" max="8" width="34" hidden="0" customWidth="1"/>
  </x:cols>
  <x:sheetData>
    <x:row r="1">
      <x:c r="A1" s="6" t="str">
        <x:v>要素</x:v>
      </x:c>
      <x:c r="B1" s="6" t="str">
        <x:v>推奨ルール</x:v>
      </x:c>
      <x:c r="C1" s="6" t="str">
        <x:v>具体例/理由</x:v>
      </x:c>
      <x:c r="E1" s="30" t="str">
        <x:v>推奨サムネの型：タイトルと同文にしない</x:v>
      </x:c>
      <x:c r="F1" s="30"/>
      <x:c r="G1" s="30"/>
      <x:c r="H1" s="30"/>
    </x:row>
    <x:row r="2">
      <x:c r="A2" s="16" t="str">
        <x:v>主テキスト</x:v>
      </x:c>
      <x:c r="B2" s="16" t="str">
        <x:v>2〜6語。文章を書かない</x:v>
      </x:c>
      <x:c r="C2" s="16" t="str">
        <x:v>『その噂、本当？』『写真は消さない』『Google 5項目』</x:v>
      </x:c>
      <x:c r="E2" s="6" t="str">
        <x:v>テーマ</x:v>
      </x:c>
      <x:c r="F2" s="6" t="str">
        <x:v>タイトル側</x:v>
      </x:c>
      <x:c r="G2" s="6" t="str">
        <x:v>サムネ側</x:v>
      </x:c>
      <x:c r="H2" s="6" t="str">
        <x:v>主ビジュアル</x:v>
      </x:c>
    </x:row>
    <x:row r="3">
      <x:c r="A3" s="16" t="str">
        <x:v>ロゴ</x:v>
      </x:c>
      <x:c r="B3" s="16" t="str">
        <x:v>LINE/Google/Chrome/iPhoneなど1つを大きく</x:v>
      </x:c>
      <x:c r="C3" s="16" t="str">
        <x:v>0.5秒で自分事判定</x:v>
      </x:c>
      <x:c r="E3" s="16" t="str">
        <x:v>Google安全点検</x:v>
      </x:c>
      <x:c r="F3" s="16" t="str">
        <x:v>乗っ取られる前に見るべき5項目</x:v>
      </x:c>
      <x:c r="G3" s="16" t="str">
        <x:v>Google 5項目だけ</x:v>
      </x:c>
      <x:c r="H3" s="16" t="str">
        <x:v>Googleロゴ＋設定画面＋チェック</x:v>
      </x:c>
    </x:row>
    <x:row r="4">
      <x:c r="A4" s="16" t="str">
        <x:v>視覚記号</x:v>
      </x:c>
      <x:c r="B4" s="16" t="str">
        <x:v>OFFスイッチ/赤丸/警告/矢印は1つ</x:v>
      </x:c>
      <x:c r="C4" s="16" t="str">
        <x:v>要素を増やしすぎない</x:v>
      </x:c>
      <x:c r="E4" s="16" t="str">
        <x:v>LINE噂検証</x:v>
      </x:c>
      <x:c r="F4" s="16" t="str">
        <x:v>青い日付で高額請求は本当？</x:v>
      </x:c>
      <x:c r="G4" s="16" t="str">
        <x:v>その噂、本当？</x:v>
      </x:c>
      <x:c r="H4" s="16" t="str">
        <x:v>LINEロゴ＋青い日付＋?</x:v>
      </x:c>
    </x:row>
    <x:row r="5">
      <x:c r="A5" s="16" t="str">
        <x:v>タイトルとの関係</x:v>
      </x:c>
      <x:c r="B5" s="16" t="str">
        <x:v>同じ文を繰り返さず補完</x:v>
      </x:c>
      <x:c r="C5" s="16" t="str">
        <x:v>Title『LINE高額請求は本当？』/ Thumb『その噂、本当？』</x:v>
      </x:c>
      <x:c r="E5" s="16" t="str">
        <x:v>容量整理</x:v>
      </x:c>
      <x:c r="F5" s="16" t="str">
        <x:v>写真を消す前に容量整理</x:v>
      </x:c>
      <x:c r="G5" s="16" t="str">
        <x:v>写真は消さない</x:v>
      </x:c>
      <x:c r="H5" s="16" t="str">
        <x:v>ストレージバー＋写真</x:v>
      </x:c>
    </x:row>
    <x:row r="6">
      <x:c r="A6" s="16" t="str">
        <x:v>色</x:v>
      </x:c>
      <x:c r="B6" s="16" t="str">
        <x:v>警告回は赤/黄をアクセント。通常回は白/青中心</x:v>
      </x:c>
      <x:c r="C6" s="16" t="str">
        <x:v>毎回真っ赤だと煽りチャンネル化</x:v>
      </x:c>
      <x:c r="E6" s="16" t="str">
        <x:v>詐欺電話</x:v>
      </x:c>
      <x:c r="F6" s="16" t="str">
        <x:v>国際電話/ニセ警察を減らす設定</x:v>
      </x:c>
      <x:c r="G6" s="16" t="str">
        <x:v>詐欺電話を減らす</x:v>
      </x:c>
      <x:c r="H6" s="16" t="str">
        <x:v>着信画面＋警告</x:v>
      </x:c>
    </x:row>
    <x:row r="7">
      <x:c r="A7" s="16" t="str">
        <x:v>人物</x:v>
      </x:c>
      <x:c r="B7" s="16" t="str">
        <x:v>顔出し不要。手元/端末/簡単な図で成立</x:v>
      </x:c>
      <x:c r="C7" s="16" t="str">
        <x:v>実機画面の信頼感優先</x:v>
      </x:c>
      <x:c r="E7" s="16" t="str">
        <x:v>AI安全</x:v>
      </x:c>
      <x:c r="F7" s="16" t="str">
        <x:v>AIに入れてはいけない情報5つ</x:v>
      </x:c>
      <x:c r="G7" s="16" t="str">
        <x:v>AIに入れない5つ</x:v>
      </x:c>
      <x:c r="H7" s="16" t="str">
        <x:v>ChatGPT/Gemini＋個人情報アイコン</x:v>
      </x:c>
    </x:row>
    <x:row r="8">
      <x:c r="A8" s="16" t="str">
        <x:v>証拠バッジ</x:v>
      </x:c>
      <x:c r="B8" s="16" t="str">
        <x:v>『公式確認』『実機確認』を小さく固定表示</x:v>
      </x:c>
      <x:c r="C8" s="16" t="str">
        <x:v>ブランド差別化</x:v>
      </x:c>
    </x:row>
    <x:row r="9">
      <x:c r="A9" s="16" t="str">
        <x:v>NG</x:v>
      </x:c>
      <x:c r="B9" s="16" t="str">
        <x:v>『絶対』『100%』『全員漏れてる』など根拠以上の断定</x:v>
      </x:c>
      <x:c r="C9" s="16" t="str">
        <x:v>短期CTRより信頼と収益化耐性</x:v>
      </x:c>
    </x:row>
  </x:sheetData>
  <x:mergeCells>
    <x:mergeCell ref="E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項目</x:v>
      </x:c>
      <x:c r="B1" s="6" t="str">
        <x:v>決定内容</x:v>
      </x:c>
    </x:row>
    <x:row r="2">
      <x:c r="A2" s="36" t="str">
        <x:v>最終候補</x:v>
      </x:c>
      <x:c r="B2" s="34" t="str">
        <x:v>大人のデジタル安心室</x:v>
      </x:c>
    </x:row>
    <x:row r="3">
      <x:c r="A3" s="36" t="str">
        <x:v>サブタイトル</x:v>
      </x:c>
      <x:c r="B3" s="34" t="str">
        <x:v>スマホ・詐欺・AIを、難しい言葉なしで。</x:v>
      </x:c>
    </x:row>
    <x:row r="4">
      <x:c r="A4" s="36" t="str">
        <x:v>ブランド約束</x:v>
      </x:c>
      <x:c r="B4" s="34" t="str">
        <x:v>怖がらせる前に、確認する。</x:v>
      </x:c>
    </x:row>
    <x:row r="5">
      <x:c r="A5" s="16" t="str">
        <x:v>対象</x:v>
      </x:c>
      <x:c r="B5" s="16" t="str">
        <x:v>主に50〜70代＋家族のスマホを支える40代</x:v>
      </x:c>
    </x:row>
    <x:row r="6">
      <x:c r="A6" s="16" t="str">
        <x:v>ポジショニング</x:v>
      </x:c>
      <x:c r="B6" s="16" t="str">
        <x:v>『危険設定を煽るチャンネル』ではなく『一次情報を確認し、実機で安全な手順を見せるチャンネル』</x:v>
      </x:c>
    </x:row>
    <x:row r="7">
      <x:c r="A7" s="16" t="str">
        <x:v>固定ルール</x:v>
      </x:c>
      <x:c r="B7" s="16" t="str">
        <x:v>冒頭30秒以内に ①結論 ②一次情報の確認日 ③本当に必要な行動 を提示</x:v>
      </x:c>
    </x:row>
    <x:row r="8">
      <x:c r="A8" s="16" t="str">
        <x:v>柱A 守る</x:v>
      </x:c>
      <x:c r="B8" s="16" t="str">
        <x:v>詐欺・乗っ取り・プライバシー・紛失 40%</x:v>
      </x:c>
    </x:row>
    <x:row r="9">
      <x:c r="A9" s="16" t="str">
        <x:v>柱B 整える</x:v>
      </x:c>
      <x:c r="B9" s="16" t="str">
        <x:v>容量・写真・バックアップ・機種変更 25%</x:v>
      </x:c>
    </x:row>
    <x:row r="10">
      <x:c r="A10" s="16" t="str">
        <x:v>柱C 使う</x:v>
      </x:c>
      <x:c r="B10" s="16" t="str">
        <x:v>LINE/Google/マップ/行政アプリ・便利機能 20%</x:v>
      </x:c>
    </x:row>
    <x:row r="11">
      <x:c r="A11" s="16" t="str">
        <x:v>柱D AI</x:v>
      </x:c>
      <x:c r="B11" s="16" t="str">
        <x:v>ChatGPT/Geminiの安全な生活利用 15%</x:v>
      </x:c>
    </x:row>
    <x:row r="12">
      <x:c r="A12" s="16" t="str">
        <x:v>投稿頻度</x:v>
      </x:c>
      <x:c r="B12" s="16" t="str">
        <x:v>週2本 × 6週間で12本。火曜/金曜 18〜19時を初期仮説として固定。</x:v>
      </x:c>
    </x:row>
    <x:row r="13">
      <x:c r="A13" s="16" t="str">
        <x:v>Shorts</x:v>
      </x:c>
      <x:c r="B13" s="16" t="str">
        <x:v>長尺1本から1〜2本だけ再編集。Shorts用の別ネタ量産はしない。</x:v>
      </x:c>
    </x:row>
    <x:row r="14">
      <x:c r="A14" s="16" t="str">
        <x:v>代替名1</x:v>
      </x:c>
      <x:c r="B14" s="16" t="str">
        <x:v>大人のデジタル護身術（覚えやすいが『護身術』がやや強い）</x:v>
      </x:c>
    </x:row>
    <x:row r="15">
      <x:c r="A15" s="16" t="str">
        <x:v>代替名2</x:v>
      </x:c>
      <x:c r="B15" s="16" t="str">
        <x:v>デジタル生活防衛室（意味は明確だが少し硬い）</x:v>
      </x:c>
    </x:row>
    <x:row r="16">
      <x:c r="A16" s="16" t="str">
        <x:v>代替名3</x:v>
      </x:c>
      <x:c r="B16" s="16" t="str">
        <x:v>大人のスマホ安心室（分かりやすいがAI/PCへの拡張が狭い）</x:v>
      </x:c>
    </x:row>
    <x:row r="17">
      <x:c r="A17" s="16" t="str">
        <x:v>命名メモ</x:v>
      </x:c>
      <x:c r="B17" s="16" t="str">
        <x:v>Web検索では『大人のデジタル安心室』の目立つ同名YouTubeチャンネルは確認できず。公開直前にYouTube内で最終確認。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6" hidden="0" customWidth="1"/>
    <x:col min="3" max="3" width="74" hidden="0" customWidth="1"/>
  </x:cols>
  <x:sheetData>
    <x:row r="1">
      <x:c r="A1" s="6" t="str">
        <x:v>用途</x:v>
      </x:c>
      <x:c r="B1" s="6" t="str">
        <x:v>内容</x:v>
      </x:c>
      <x:c r="C1" s="6" t="str">
        <x:v>URL</x:v>
      </x:c>
    </x:row>
    <x:row r="2">
      <x:c r="A2" s="16" t="str">
        <x:v>競合母集団</x:v>
      </x:c>
      <x:c r="B2" s="16" t="str">
        <x:v>Yutura「スマホ」タグ：52チャンネル</x:v>
      </x:c>
      <x:c r="C2" s="16" t="str">
        <x:v>https://yutura.net/tag/1180/</x:v>
      </x:c>
    </x:row>
    <x:row r="3">
      <x:c r="A3" s="16" t="str">
        <x:v>市場リスク</x:v>
      </x:c>
      <x:c r="B3" s="16" t="str">
        <x:v>警察庁 2026年上半期：特殊詐欺2万2031件、被害1816.2億円、50代以上が被害額の約8割</x:v>
      </x:c>
      <x:c r="C3" s="16" t="str">
        <x:v>https://www.npa.go.jp/bureau/safetylife/sos47/new-topics/260731/01.html</x:v>
      </x:c>
    </x:row>
    <x:row r="4">
      <x:c r="A4" s="16" t="str">
        <x:v>収益化ポリシー</x:v>
      </x:c>
      <x:c r="B4" s="16" t="str">
        <x:v>YouTube：大量生産/反復・汎用AIテンプレは収益化対象外。独自性があり十分に調査されたAI補助は可</x:v>
      </x:c>
      <x:c r="C4" s="16" t="str">
        <x:v>https://support.google.com/youtube/answer/1311392?hl=ja</x:v>
      </x:c>
    </x:row>
    <x:row r="5">
      <x:c r="A5" s="16" t="str">
        <x:v>時事ネタ</x:v>
      </x:c>
      <x:c r="B5" s="16" t="str">
        <x:v>デジタル庁：2026-08-25 マイナポータルアプリ→マイナアプリ</x:v>
      </x:c>
      <x:c r="C5" s="16" t="str">
        <x:v>https://www.digital.go.jp/policies/digital_promotion_staff/curation</x:v>
      </x:c>
    </x:row>
    <x:row r="6">
      <x:c r="A6" s="16" t="str">
        <x:v>仕様</x:v>
      </x:c>
      <x:c r="B6" s="16" t="str">
        <x:v>デジタル庁 マイナアプリ概要</x:v>
      </x:c>
      <x:c r="C6" s="16" t="str">
        <x:v>https://www.digital.go.jp/policies/mynumber/local-government/mynaportal-app</x:v>
      </x:c>
    </x:row>
    <x:row r="7">
      <x:c r="A7" s="16" t="str">
        <x:v>主要競合</x:v>
      </x:c>
      <x:c r="B7" s="16" t="str">
        <x:v>スマホのコンシェルジュ BitStar</x:v>
      </x:c>
      <x:c r="C7" s="16" t="str">
        <x:v>https://db.bitstar.tokyo/youtube/UCd0lXfZHpNsfLtOBPWHkV8g?content=posts</x:v>
      </x:c>
    </x:row>
    <x:row r="8">
      <x:c r="A8" s="16" t="str">
        <x:v>主要競合</x:v>
      </x:c>
      <x:c r="B8" s="16" t="str">
        <x:v>埼玉スマホ教室 DigitalCreators</x:v>
      </x:c>
      <x:c r="C8" s="16" t="str">
        <x:v>https://digitalcreators.jp/channel/ja/UCKeSbR4kQK4RAPsrLVKJjCQ/</x:v>
      </x:c>
    </x:row>
    <x:row r="9">
      <x:c r="A9" s="16" t="str">
        <x:v>主要競合</x:v>
      </x:c>
      <x:c r="B9" s="16" t="str">
        <x:v>吉祥寺スマホスクール DigitalCreators</x:v>
      </x:c>
      <x:c r="C9" s="16" t="str">
        <x:v>https://digitalcreators.jp/channel/ja/UC4V6nX77AYklcVdMIHotOyQ/</x:v>
      </x:c>
    </x:row>
    <x:row r="10">
      <x:c r="A10" s="16" t="str">
        <x:v>追加Deep</x:v>
      </x:c>
      <x:c r="B10" s="16" t="str">
        <x:v>スマオタ 2026年8月最新</x:v>
      </x:c>
      <x:c r="C10" s="16" t="str">
        <x:v>https://digitalcreators.jp/channel/ja/UCL1ExJ29XY4zWozic75hMpw/</x:v>
      </x:c>
    </x:row>
    <x:row r="11">
      <x:c r="A11" s="16" t="str">
        <x:v>追加Deep</x:v>
      </x:c>
      <x:c r="B11" s="16" t="str">
        <x:v>スマキンロイド 2026年6月最新</x:v>
      </x:c>
      <x:c r="C11" s="16" t="str">
        <x:v>https://digitalcreators.jp/channel/UCThNTkIWQ6bENcR78P2Un3Q/</x:v>
      </x:c>
    </x:row>
  </x:sheetData>
  <x:pageMargins left="0.7" right="0.7" top="0.75" bottom="0.75" header="0.3" footer="0.3"/>
</x:worksheet>
</file>